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codeName="ThisWorkbook"/>
  <mc:AlternateContent xmlns:mc="http://schemas.openxmlformats.org/markup-compatibility/2006">
    <mc:Choice Requires="x15">
      <x15ac:absPath xmlns:x15ac="http://schemas.microsoft.com/office/spreadsheetml/2010/11/ac" url="https://desalesuniversity-my.sharepoint.com/personal/co4008_desales_edu/Documents/"/>
    </mc:Choice>
  </mc:AlternateContent>
  <xr:revisionPtr revIDLastSave="0" documentId="8_{AFAF000E-6D4B-400F-9397-7A0473C2B378}" xr6:coauthVersionLast="47" xr6:coauthVersionMax="47" xr10:uidLastSave="{00000000-0000-0000-0000-000000000000}"/>
  <bookViews>
    <workbookView xWindow="-110" yWindow="-110" windowWidth="19420" windowHeight="1222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 i="11" l="1"/>
  <c r="H21" i="11"/>
  <c r="H22" i="11"/>
  <c r="H23" i="11"/>
  <c r="F25" i="11"/>
  <c r="F17" i="11"/>
  <c r="F18" i="11"/>
  <c r="F16" i="11"/>
  <c r="F15" i="11"/>
  <c r="F9" i="11"/>
  <c r="H7" i="11"/>
  <c r="I5" i="11" l="1"/>
  <c r="H31" i="11"/>
  <c r="H30" i="11"/>
  <c r="H24" i="11"/>
  <c r="H14" i="11"/>
  <c r="H8" i="11"/>
  <c r="H9" i="11" l="1"/>
  <c r="I6" i="11"/>
  <c r="H29" i="11" l="1"/>
  <c r="H26" i="11"/>
  <c r="H28" i="11"/>
  <c r="H25" i="11"/>
  <c r="H10" i="11"/>
  <c r="H15" i="11"/>
  <c r="H13" i="11"/>
  <c r="J5" i="11"/>
  <c r="K5" i="11" s="1"/>
  <c r="L5" i="11" s="1"/>
  <c r="M5" i="11" s="1"/>
  <c r="N5" i="11" s="1"/>
  <c r="O5" i="11" s="1"/>
  <c r="P5" i="11" s="1"/>
  <c r="I4" i="11"/>
  <c r="H27" i="11" l="1"/>
  <c r="H16" i="11"/>
  <c r="H11" i="11"/>
  <c r="H12" i="11"/>
  <c r="P4" i="11"/>
  <c r="Q5" i="11"/>
  <c r="R5" i="11" s="1"/>
  <c r="S5" i="11" s="1"/>
  <c r="T5" i="11" s="1"/>
  <c r="U5" i="11" s="1"/>
  <c r="V5" i="11" s="1"/>
  <c r="W5" i="11" s="1"/>
  <c r="J6" i="11"/>
  <c r="H19" i="11" l="1"/>
  <c r="H18" i="11"/>
  <c r="H17"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<sst xmlns="http://schemas.openxmlformats.org/spreadsheetml/2006/main" count="67" uniqueCount="52">
  <si>
    <t>Client Server</t>
  </si>
  <si>
    <t>Project start:</t>
  </si>
  <si>
    <t>DeSales Uni.</t>
  </si>
  <si>
    <t>Chris, Rafay, and Ben</t>
  </si>
  <si>
    <t>Display week:</t>
  </si>
  <si>
    <t>TASK</t>
  </si>
  <si>
    <t>ASSIGNED TO</t>
  </si>
  <si>
    <t>PROGRESS</t>
  </si>
  <si>
    <t>START</t>
  </si>
  <si>
    <t>END</t>
  </si>
  <si>
    <t xml:space="preserve">Do not delete this row. This row is hidden to preserve a formula that is used to highlight the current day within the project schedule. </t>
  </si>
  <si>
    <t>Client Implementation</t>
  </si>
  <si>
    <t>Phase 1 Code</t>
  </si>
  <si>
    <t>Ben</t>
  </si>
  <si>
    <t>Basic connection scheme + Broadcast Implementation</t>
  </si>
  <si>
    <t>Implement library functions + tests</t>
  </si>
  <si>
    <t>Documentation / Last minute testing</t>
  </si>
  <si>
    <t xml:space="preserve">Implement threading + EDA fundamentals </t>
  </si>
  <si>
    <t>Server Implementation</t>
  </si>
  <si>
    <t>General File Setup</t>
  </si>
  <si>
    <t>Chris</t>
  </si>
  <si>
    <t>Implentation of Server</t>
  </si>
  <si>
    <t>Testing Connection in Class</t>
  </si>
  <si>
    <t>Final Documentation/ Touch-up</t>
  </si>
  <si>
    <t>Phase #2 General</t>
  </si>
  <si>
    <t>Basic connection schema</t>
  </si>
  <si>
    <t>Library functions implementation</t>
  </si>
  <si>
    <t>Bug Fixes for client connections</t>
  </si>
  <si>
    <t>Documentation and Final Touch-up</t>
  </si>
  <si>
    <t>Library Implementation/Meetings</t>
  </si>
  <si>
    <t>Next OOC Meeting</t>
  </si>
  <si>
    <t>All members</t>
  </si>
  <si>
    <t>Phase #2 Check-up</t>
  </si>
  <si>
    <t xml:space="preserve">Library functions written </t>
  </si>
  <si>
    <t>Rafay</t>
  </si>
  <si>
    <t>Connection and Implementation Test</t>
  </si>
  <si>
    <t>README and Documentation</t>
  </si>
  <si>
    <t>Insert new rows ABOVE this one</t>
  </si>
  <si>
    <t>SIMPLE GANTT CHART by Vertex42.com</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</si>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</sst>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2">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0"/>
        <bgColor indexed="64"/>
      </patternFill>
    </fill>
    <fill>
      <patternFill patternType="solid">
        <fgColor theme="6"/>
        <bgColor indexed="64"/>
      </patternFill>
    </fill>
    <fill>
      <patternFill patternType="solid">
        <fgColor theme="6" tint="0.59999389629810485"/>
        <bgColor indexed="64"/>
      </patternFill>
    </fill>
  </fills>
  <borders count="23">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style="thin">
        <color theme="0" tint="-4.9989318521683403E-2"/>
      </left>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0">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8" borderId="19" xfId="0" applyNumberFormat="1" applyFont="1" applyFill="1" applyBorder="1" applyAlignment="1">
      <alignment horizontal="center" vertical="center"/>
    </xf>
    <xf numFmtId="167" fontId="21" fillId="8" borderId="17" xfId="0" applyNumberFormat="1" applyFont="1" applyFill="1" applyBorder="1" applyAlignment="1">
      <alignment horizontal="center" vertical="center"/>
    </xf>
    <xf numFmtId="167" fontId="21" fillId="8" borderId="18" xfId="0" applyNumberFormat="1" applyFont="1" applyFill="1" applyBorder="1" applyAlignment="1">
      <alignment horizontal="center" vertical="center"/>
    </xf>
    <xf numFmtId="0" fontId="22" fillId="2" borderId="16" xfId="0" applyFont="1" applyFill="1" applyBorder="1" applyAlignment="1">
      <alignment horizontal="center" vertical="center" shrinkToFit="1"/>
    </xf>
    <xf numFmtId="0" fontId="22" fillId="2" borderId="13"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5" borderId="0" xfId="0" applyFont="1" applyFill="1" applyAlignment="1">
      <alignment horizontal="left" vertical="center" indent="1"/>
    </xf>
    <xf numFmtId="0" fontId="19" fillId="5" borderId="0" xfId="11" applyFont="1" applyFill="1" applyBorder="1" applyAlignment="1">
      <alignment vertical="center"/>
    </xf>
    <xf numFmtId="9" fontId="1" fillId="5" borderId="0" xfId="2" applyFont="1" applyFill="1" applyBorder="1" applyAlignment="1">
      <alignment horizontal="center" vertical="center"/>
    </xf>
    <xf numFmtId="164" fontId="19" fillId="5" borderId="0" xfId="0" applyNumberFormat="1" applyFont="1" applyFill="1" applyAlignment="1">
      <alignment horizontal="center" vertical="center"/>
    </xf>
    <xf numFmtId="164" fontId="1" fillId="5" borderId="0" xfId="0" applyNumberFormat="1" applyFont="1" applyFill="1" applyAlignment="1">
      <alignment horizontal="center" vertical="center"/>
    </xf>
    <xf numFmtId="0" fontId="4" fillId="0" borderId="11"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4" fillId="0" borderId="10" xfId="0" applyFont="1" applyBorder="1" applyAlignment="1">
      <alignment vertical="center"/>
    </xf>
    <xf numFmtId="0" fontId="4" fillId="0" borderId="9" xfId="0" applyFont="1" applyBorder="1" applyAlignment="1">
      <alignment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4" fillId="9" borderId="11" xfId="0" applyFont="1" applyFill="1" applyBorder="1" applyAlignment="1">
      <alignment vertical="center"/>
    </xf>
    <xf numFmtId="0" fontId="4" fillId="9" borderId="4" xfId="0" applyFont="1" applyFill="1" applyBorder="1" applyAlignment="1">
      <alignment vertical="center"/>
    </xf>
    <xf numFmtId="0" fontId="4" fillId="9" borderId="4" xfId="0" applyFont="1" applyFill="1" applyBorder="1" applyAlignment="1">
      <alignment horizontal="right" vertical="center"/>
    </xf>
    <xf numFmtId="0" fontId="4" fillId="9" borderId="0" xfId="0" applyFont="1" applyFill="1" applyAlignment="1">
      <alignment vertical="center"/>
    </xf>
    <xf numFmtId="0" fontId="4" fillId="9" borderId="10" xfId="0" applyFont="1" applyFill="1" applyBorder="1" applyAlignment="1">
      <alignment vertical="center"/>
    </xf>
    <xf numFmtId="0" fontId="4" fillId="9" borderId="9" xfId="0" applyFont="1" applyFill="1" applyBorder="1" applyAlignment="1">
      <alignment vertical="center"/>
    </xf>
    <xf numFmtId="164" fontId="19" fillId="4" borderId="6" xfId="10" applyFont="1" applyFill="1" applyBorder="1">
      <alignment horizontal="center" vertical="center"/>
    </xf>
    <xf numFmtId="0" fontId="23" fillId="10" borderId="0" xfId="0" applyFont="1" applyFill="1" applyAlignment="1">
      <alignment horizontal="left" vertical="center" indent="1"/>
    </xf>
    <xf numFmtId="0" fontId="19" fillId="10" borderId="0" xfId="11" applyFont="1" applyFill="1" applyBorder="1" applyAlignment="1">
      <alignment vertical="center"/>
    </xf>
    <xf numFmtId="9" fontId="1" fillId="10" borderId="0" xfId="2" applyFont="1" applyFill="1" applyBorder="1" applyAlignment="1">
      <alignment horizontal="center" vertical="center"/>
    </xf>
    <xf numFmtId="164" fontId="19" fillId="10" borderId="0" xfId="0" applyNumberFormat="1" applyFont="1" applyFill="1" applyAlignment="1">
      <alignment horizontal="center" vertical="center"/>
    </xf>
    <xf numFmtId="164" fontId="1" fillId="10" borderId="0" xfId="0" applyNumberFormat="1" applyFont="1" applyFill="1" applyAlignment="1">
      <alignment horizontal="center" vertical="center"/>
    </xf>
    <xf numFmtId="0" fontId="19" fillId="11" borderId="8" xfId="12" applyFont="1" applyFill="1" applyBorder="1">
      <alignment horizontal="left" vertical="center" indent="2"/>
    </xf>
    <xf numFmtId="0" fontId="19" fillId="11" borderId="8" xfId="11" applyFont="1" applyFill="1" applyBorder="1" applyAlignment="1">
      <alignment vertical="center"/>
    </xf>
    <xf numFmtId="9" fontId="1" fillId="11" borderId="8" xfId="2" applyFont="1" applyFill="1" applyBorder="1" applyAlignment="1">
      <alignment horizontal="center" vertical="center"/>
    </xf>
    <xf numFmtId="164" fontId="19" fillId="11" borderId="8" xfId="10" applyFont="1" applyFill="1" applyBorder="1">
      <alignment horizontal="center" vertical="center"/>
    </xf>
    <xf numFmtId="0" fontId="4" fillId="3" borderId="21" xfId="0" applyFont="1" applyFill="1" applyBorder="1" applyAlignment="1">
      <alignment horizontal="center" vertical="center"/>
    </xf>
    <xf numFmtId="0" fontId="4" fillId="3" borderId="9" xfId="0" applyFont="1" applyFill="1" applyBorder="1" applyAlignment="1">
      <alignment horizontal="center" vertical="center"/>
    </xf>
    <xf numFmtId="0" fontId="4" fillId="3" borderId="22" xfId="0" applyFont="1" applyFill="1" applyBorder="1" applyAlignment="1">
      <alignment horizontal="center" vertical="center"/>
    </xf>
    <xf numFmtId="166" fontId="19" fillId="2" borderId="12"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xf numFmtId="166" fontId="19" fillId="2" borderId="17" xfId="0" applyNumberFormat="1" applyFont="1" applyFill="1" applyBorder="1" applyAlignment="1">
      <alignment horizontal="center" vertical="center" wrapText="1"/>
    </xf>
    <xf numFmtId="0" fontId="20" fillId="7" borderId="15" xfId="0" applyFont="1" applyFill="1" applyBorder="1" applyAlignment="1">
      <alignment horizontal="center" vertical="center"/>
    </xf>
    <xf numFmtId="0" fontId="27" fillId="0" borderId="0" xfId="0" applyFont="1" applyAlignment="1">
      <alignment horizontal="left"/>
    </xf>
    <xf numFmtId="165" fontId="27" fillId="0" borderId="0" xfId="9" applyFont="1" applyBorder="1" applyAlignment="1">
      <alignment horizontal="left"/>
    </xf>
    <xf numFmtId="0" fontId="26" fillId="0" borderId="0" xfId="8" applyFont="1" applyAlignment="1">
      <alignment horizontal="left"/>
    </xf>
    <xf numFmtId="0" fontId="13" fillId="0" borderId="0" xfId="3" applyAlignment="1">
      <alignment wrapText="1"/>
    </xf>
    <xf numFmtId="0" fontId="20" fillId="7" borderId="15" xfId="0" applyFont="1" applyFill="1" applyBorder="1" applyAlignment="1">
      <alignment horizontal="left" vertical="center" indent="1"/>
    </xf>
    <xf numFmtId="0" fontId="4" fillId="2" borderId="20" xfId="0" applyFont="1" applyFill="1" applyBorder="1" applyAlignment="1">
      <alignment horizontal="left" indent="1"/>
    </xf>
    <xf numFmtId="0" fontId="20" fillId="7" borderId="15" xfId="0" applyFont="1" applyFill="1" applyBorder="1" applyAlignment="1">
      <alignment vertical="center"/>
    </xf>
    <xf numFmtId="0" fontId="4" fillId="0" borderId="0" xfId="0" applyFont="1" applyAlignment="1"/>
    <xf numFmtId="0" fontId="28" fillId="0" borderId="0" xfId="0" applyFont="1" applyAlignment="1"/>
    <xf numFmtId="0" fontId="4" fillId="2" borderId="20" xfId="0" applyFont="1" applyFill="1" applyBorder="1" applyAlignment="1"/>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4"/>
  <sheetViews>
    <sheetView showGridLines="0" tabSelected="1" showRuler="0" zoomScale="75" zoomScaleNormal="100" zoomScalePageLayoutView="70" workbookViewId="0">
      <selection activeCell="I28" sqref="I28"/>
    </sheetView>
  </sheetViews>
  <sheetFormatPr defaultColWidth="8.75" defaultRowHeight="30" customHeight="1"/>
  <cols>
    <col min="1" max="1" width="2.75" style="13" customWidth="1"/>
    <col min="2" max="2" width="46.625" customWidth="1"/>
    <col min="3" max="3" width="12.875" customWidth="1"/>
    <col min="4" max="4" width="10.75" customWidth="1"/>
    <col min="5" max="5" width="10.75" style="2" customWidth="1"/>
    <col min="6" max="6" width="10.75" customWidth="1"/>
    <col min="7" max="7" width="2.75" customWidth="1"/>
    <col min="8" max="8" width="6" hidden="1" customWidth="1"/>
    <col min="9" max="65" width="2.75" customWidth="1"/>
  </cols>
  <sheetData>
    <row r="1" spans="1:64" ht="90" customHeight="1">
      <c r="A1" s="14"/>
      <c r="B1" s="79" t="s">
        <v>0</v>
      </c>
      <c r="C1" s="18"/>
      <c r="D1" s="19"/>
      <c r="E1" s="20"/>
      <c r="F1" s="21"/>
      <c r="H1" s="1"/>
      <c r="I1" s="112" t="s">
        <v>1</v>
      </c>
      <c r="J1" s="117"/>
      <c r="K1" s="117"/>
      <c r="L1" s="117"/>
      <c r="M1" s="117"/>
      <c r="N1" s="117"/>
      <c r="O1" s="117"/>
      <c r="P1" s="24"/>
      <c r="Q1" s="111">
        <v>46098</v>
      </c>
      <c r="R1" s="118"/>
      <c r="S1" s="118"/>
      <c r="T1" s="118"/>
      <c r="U1" s="118"/>
      <c r="V1" s="118"/>
      <c r="W1" s="118"/>
      <c r="X1" s="118"/>
      <c r="Y1" s="118"/>
      <c r="Z1" s="118"/>
    </row>
    <row r="2" spans="1:64" ht="30" customHeight="1">
      <c r="B2" s="77" t="s">
        <v>2</v>
      </c>
      <c r="C2" s="78" t="s">
        <v>3</v>
      </c>
      <c r="D2" s="22"/>
      <c r="E2" s="23"/>
      <c r="F2" s="22"/>
      <c r="I2" s="112" t="s">
        <v>4</v>
      </c>
      <c r="J2" s="117"/>
      <c r="K2" s="117"/>
      <c r="L2" s="117"/>
      <c r="M2" s="117"/>
      <c r="N2" s="117"/>
      <c r="O2" s="117"/>
      <c r="P2" s="24"/>
      <c r="Q2" s="110">
        <v>1</v>
      </c>
      <c r="R2" s="118"/>
      <c r="S2" s="118"/>
      <c r="T2" s="118"/>
      <c r="U2" s="118"/>
      <c r="V2" s="118"/>
      <c r="W2" s="118"/>
      <c r="X2" s="118"/>
      <c r="Y2" s="118"/>
      <c r="Z2" s="118"/>
    </row>
    <row r="3" spans="1:64" s="26" customFormat="1" ht="30" customHeight="1">
      <c r="A3" s="13"/>
      <c r="B3" s="25"/>
      <c r="D3" s="27"/>
      <c r="E3" s="28"/>
    </row>
    <row r="4" spans="1:64" s="26" customFormat="1" ht="30" customHeight="1">
      <c r="A4" s="14"/>
      <c r="B4" s="29"/>
      <c r="E4" s="30"/>
      <c r="I4" s="108">
        <f>I5</f>
        <v>46097</v>
      </c>
      <c r="J4" s="106"/>
      <c r="K4" s="106"/>
      <c r="L4" s="106"/>
      <c r="M4" s="106"/>
      <c r="N4" s="106"/>
      <c r="O4" s="106"/>
      <c r="P4" s="106">
        <f>P5</f>
        <v>46104</v>
      </c>
      <c r="Q4" s="106"/>
      <c r="R4" s="106"/>
      <c r="S4" s="106"/>
      <c r="T4" s="106"/>
      <c r="U4" s="106"/>
      <c r="V4" s="106"/>
      <c r="W4" s="106">
        <f>W5</f>
        <v>46111</v>
      </c>
      <c r="X4" s="106"/>
      <c r="Y4" s="106"/>
      <c r="Z4" s="106"/>
      <c r="AA4" s="106"/>
      <c r="AB4" s="106"/>
      <c r="AC4" s="106"/>
      <c r="AD4" s="106">
        <f>AD5</f>
        <v>46118</v>
      </c>
      <c r="AE4" s="106"/>
      <c r="AF4" s="106"/>
      <c r="AG4" s="106"/>
      <c r="AH4" s="106"/>
      <c r="AI4" s="106"/>
      <c r="AJ4" s="106"/>
      <c r="AK4" s="106">
        <f>AK5</f>
        <v>46125</v>
      </c>
      <c r="AL4" s="106"/>
      <c r="AM4" s="106"/>
      <c r="AN4" s="106"/>
      <c r="AO4" s="106"/>
      <c r="AP4" s="106"/>
      <c r="AQ4" s="106"/>
      <c r="AR4" s="106">
        <f>AR5</f>
        <v>46132</v>
      </c>
      <c r="AS4" s="106"/>
      <c r="AT4" s="106"/>
      <c r="AU4" s="106"/>
      <c r="AV4" s="106"/>
      <c r="AW4" s="106"/>
      <c r="AX4" s="106"/>
      <c r="AY4" s="106">
        <f>AY5</f>
        <v>46139</v>
      </c>
      <c r="AZ4" s="106"/>
      <c r="BA4" s="106"/>
      <c r="BB4" s="106"/>
      <c r="BC4" s="106"/>
      <c r="BD4" s="106"/>
      <c r="BE4" s="106"/>
      <c r="BF4" s="106">
        <f>BF5</f>
        <v>46146</v>
      </c>
      <c r="BG4" s="106"/>
      <c r="BH4" s="106"/>
      <c r="BI4" s="106"/>
      <c r="BJ4" s="106"/>
      <c r="BK4" s="106"/>
      <c r="BL4" s="107"/>
    </row>
    <row r="5" spans="1:64" s="26" customFormat="1" ht="15" customHeight="1">
      <c r="A5" s="113"/>
      <c r="B5" s="114" t="s">
        <v>5</v>
      </c>
      <c r="C5" s="116" t="s">
        <v>6</v>
      </c>
      <c r="D5" s="109" t="s">
        <v>7</v>
      </c>
      <c r="E5" s="109" t="s">
        <v>8</v>
      </c>
      <c r="F5" s="109" t="s">
        <v>9</v>
      </c>
      <c r="I5" s="31">
        <f>Project_Start-WEEKDAY(Project_Start,1)+2+7*(Display_Week-1)</f>
        <v>46097</v>
      </c>
      <c r="J5" s="31">
        <f>I5+1</f>
        <v>46098</v>
      </c>
      <c r="K5" s="31">
        <f t="shared" ref="K5:AX5" si="0">J5+1</f>
        <v>46099</v>
      </c>
      <c r="L5" s="31">
        <f t="shared" si="0"/>
        <v>46100</v>
      </c>
      <c r="M5" s="31">
        <f t="shared" si="0"/>
        <v>46101</v>
      </c>
      <c r="N5" s="31">
        <f t="shared" si="0"/>
        <v>46102</v>
      </c>
      <c r="O5" s="32">
        <f t="shared" si="0"/>
        <v>46103</v>
      </c>
      <c r="P5" s="33">
        <f>O5+1</f>
        <v>46104</v>
      </c>
      <c r="Q5" s="31">
        <f>P5+1</f>
        <v>46105</v>
      </c>
      <c r="R5" s="31">
        <f t="shared" si="0"/>
        <v>46106</v>
      </c>
      <c r="S5" s="31">
        <f t="shared" si="0"/>
        <v>46107</v>
      </c>
      <c r="T5" s="31">
        <f t="shared" si="0"/>
        <v>46108</v>
      </c>
      <c r="U5" s="31">
        <f t="shared" si="0"/>
        <v>46109</v>
      </c>
      <c r="V5" s="32">
        <f t="shared" si="0"/>
        <v>46110</v>
      </c>
      <c r="W5" s="33">
        <f>V5+1</f>
        <v>46111</v>
      </c>
      <c r="X5" s="31">
        <f>W5+1</f>
        <v>46112</v>
      </c>
      <c r="Y5" s="31">
        <f t="shared" si="0"/>
        <v>46113</v>
      </c>
      <c r="Z5" s="31">
        <f t="shared" si="0"/>
        <v>46114</v>
      </c>
      <c r="AA5" s="31">
        <f t="shared" si="0"/>
        <v>46115</v>
      </c>
      <c r="AB5" s="31">
        <f t="shared" si="0"/>
        <v>46116</v>
      </c>
      <c r="AC5" s="32">
        <f t="shared" si="0"/>
        <v>46117</v>
      </c>
      <c r="AD5" s="33">
        <f>AC5+1</f>
        <v>46118</v>
      </c>
      <c r="AE5" s="31">
        <f>AD5+1</f>
        <v>46119</v>
      </c>
      <c r="AF5" s="31">
        <f t="shared" si="0"/>
        <v>46120</v>
      </c>
      <c r="AG5" s="31">
        <f t="shared" si="0"/>
        <v>46121</v>
      </c>
      <c r="AH5" s="31">
        <f t="shared" si="0"/>
        <v>46122</v>
      </c>
      <c r="AI5" s="31">
        <f t="shared" si="0"/>
        <v>46123</v>
      </c>
      <c r="AJ5" s="32">
        <f t="shared" si="0"/>
        <v>46124</v>
      </c>
      <c r="AK5" s="33">
        <f>AJ5+1</f>
        <v>46125</v>
      </c>
      <c r="AL5" s="31">
        <f>AK5+1</f>
        <v>46126</v>
      </c>
      <c r="AM5" s="31">
        <f t="shared" si="0"/>
        <v>46127</v>
      </c>
      <c r="AN5" s="31">
        <f t="shared" si="0"/>
        <v>46128</v>
      </c>
      <c r="AO5" s="31">
        <f t="shared" si="0"/>
        <v>46129</v>
      </c>
      <c r="AP5" s="31">
        <f t="shared" si="0"/>
        <v>46130</v>
      </c>
      <c r="AQ5" s="32">
        <f t="shared" si="0"/>
        <v>46131</v>
      </c>
      <c r="AR5" s="33">
        <f>AQ5+1</f>
        <v>46132</v>
      </c>
      <c r="AS5" s="31">
        <f>AR5+1</f>
        <v>46133</v>
      </c>
      <c r="AT5" s="31">
        <f t="shared" si="0"/>
        <v>46134</v>
      </c>
      <c r="AU5" s="31">
        <f t="shared" si="0"/>
        <v>46135</v>
      </c>
      <c r="AV5" s="31">
        <f t="shared" si="0"/>
        <v>46136</v>
      </c>
      <c r="AW5" s="31">
        <f t="shared" si="0"/>
        <v>46137</v>
      </c>
      <c r="AX5" s="32">
        <f t="shared" si="0"/>
        <v>46138</v>
      </c>
      <c r="AY5" s="33">
        <f>AX5+1</f>
        <v>46139</v>
      </c>
      <c r="AZ5" s="31">
        <f>AY5+1</f>
        <v>46140</v>
      </c>
      <c r="BA5" s="31">
        <f t="shared" ref="BA5:BE5" si="1">AZ5+1</f>
        <v>46141</v>
      </c>
      <c r="BB5" s="31">
        <f t="shared" si="1"/>
        <v>46142</v>
      </c>
      <c r="BC5" s="31">
        <f t="shared" si="1"/>
        <v>46143</v>
      </c>
      <c r="BD5" s="31">
        <f t="shared" si="1"/>
        <v>46144</v>
      </c>
      <c r="BE5" s="32">
        <f t="shared" si="1"/>
        <v>46145</v>
      </c>
      <c r="BF5" s="33">
        <f>BE5+1</f>
        <v>46146</v>
      </c>
      <c r="BG5" s="31">
        <f>BF5+1</f>
        <v>46147</v>
      </c>
      <c r="BH5" s="31">
        <f t="shared" ref="BH5:BL5" si="2">BG5+1</f>
        <v>46148</v>
      </c>
      <c r="BI5" s="31">
        <f t="shared" si="2"/>
        <v>46149</v>
      </c>
      <c r="BJ5" s="31">
        <f t="shared" si="2"/>
        <v>46150</v>
      </c>
      <c r="BK5" s="31">
        <f t="shared" si="2"/>
        <v>46151</v>
      </c>
      <c r="BL5" s="31">
        <f t="shared" si="2"/>
        <v>46152</v>
      </c>
    </row>
    <row r="6" spans="1:64" s="26" customFormat="1" ht="15" customHeight="1" thickBot="1">
      <c r="A6" s="113"/>
      <c r="B6" s="115"/>
      <c r="C6" s="119"/>
      <c r="D6" s="119"/>
      <c r="E6" s="119"/>
      <c r="F6" s="119"/>
      <c r="I6" s="34" t="str">
        <f t="shared" ref="I6:AN6" si="3">LEFT(TEXT(I5,"ddd"),1)</f>
        <v>M</v>
      </c>
      <c r="J6" s="35" t="str">
        <f t="shared" si="3"/>
        <v>T</v>
      </c>
      <c r="K6" s="35" t="str">
        <f t="shared" si="3"/>
        <v>W</v>
      </c>
      <c r="L6" s="35" t="str">
        <f t="shared" si="3"/>
        <v>T</v>
      </c>
      <c r="M6" s="35" t="str">
        <f t="shared" si="3"/>
        <v>F</v>
      </c>
      <c r="N6" s="35" t="str">
        <f t="shared" si="3"/>
        <v>S</v>
      </c>
      <c r="O6" s="35" t="str">
        <f t="shared" si="3"/>
        <v>S</v>
      </c>
      <c r="P6" s="35" t="str">
        <f t="shared" si="3"/>
        <v>M</v>
      </c>
      <c r="Q6" s="35" t="str">
        <f t="shared" si="3"/>
        <v>T</v>
      </c>
      <c r="R6" s="35" t="str">
        <f t="shared" si="3"/>
        <v>W</v>
      </c>
      <c r="S6" s="35" t="str">
        <f t="shared" si="3"/>
        <v>T</v>
      </c>
      <c r="T6" s="35" t="str">
        <f t="shared" si="3"/>
        <v>F</v>
      </c>
      <c r="U6" s="35" t="str">
        <f t="shared" si="3"/>
        <v>S</v>
      </c>
      <c r="V6" s="35" t="str">
        <f t="shared" si="3"/>
        <v>S</v>
      </c>
      <c r="W6" s="35" t="str">
        <f t="shared" si="3"/>
        <v>M</v>
      </c>
      <c r="X6" s="35" t="str">
        <f t="shared" si="3"/>
        <v>T</v>
      </c>
      <c r="Y6" s="35" t="str">
        <f t="shared" si="3"/>
        <v>W</v>
      </c>
      <c r="Z6" s="35" t="str">
        <f t="shared" si="3"/>
        <v>T</v>
      </c>
      <c r="AA6" s="35" t="str">
        <f t="shared" si="3"/>
        <v>F</v>
      </c>
      <c r="AB6" s="35" t="str">
        <f t="shared" si="3"/>
        <v>S</v>
      </c>
      <c r="AC6" s="35" t="str">
        <f t="shared" si="3"/>
        <v>S</v>
      </c>
      <c r="AD6" s="35" t="str">
        <f t="shared" si="3"/>
        <v>M</v>
      </c>
      <c r="AE6" s="35" t="str">
        <f t="shared" si="3"/>
        <v>T</v>
      </c>
      <c r="AF6" s="35" t="str">
        <f t="shared" si="3"/>
        <v>W</v>
      </c>
      <c r="AG6" s="35" t="str">
        <f t="shared" si="3"/>
        <v>T</v>
      </c>
      <c r="AH6" s="35" t="str">
        <f t="shared" si="3"/>
        <v>F</v>
      </c>
      <c r="AI6" s="35" t="str">
        <f t="shared" si="3"/>
        <v>S</v>
      </c>
      <c r="AJ6" s="35" t="str">
        <f t="shared" si="3"/>
        <v>S</v>
      </c>
      <c r="AK6" s="35" t="str">
        <f t="shared" si="3"/>
        <v>M</v>
      </c>
      <c r="AL6" s="35" t="str">
        <f t="shared" si="3"/>
        <v>T</v>
      </c>
      <c r="AM6" s="35" t="str">
        <f t="shared" si="3"/>
        <v>W</v>
      </c>
      <c r="AN6" s="35" t="str">
        <f t="shared" si="3"/>
        <v>T</v>
      </c>
      <c r="AO6" s="35" t="str">
        <f t="shared" ref="AO6:BL6" si="4">LEFT(TEXT(AO5,"ddd"),1)</f>
        <v>F</v>
      </c>
      <c r="AP6" s="35" t="str">
        <f t="shared" si="4"/>
        <v>S</v>
      </c>
      <c r="AQ6" s="35" t="str">
        <f t="shared" si="4"/>
        <v>S</v>
      </c>
      <c r="AR6" s="35" t="str">
        <f t="shared" si="4"/>
        <v>M</v>
      </c>
      <c r="AS6" s="35" t="str">
        <f t="shared" si="4"/>
        <v>T</v>
      </c>
      <c r="AT6" s="35" t="str">
        <f t="shared" si="4"/>
        <v>W</v>
      </c>
      <c r="AU6" s="35" t="str">
        <f t="shared" si="4"/>
        <v>T</v>
      </c>
      <c r="AV6" s="35" t="str">
        <f t="shared" si="4"/>
        <v>F</v>
      </c>
      <c r="AW6" s="35" t="str">
        <f t="shared" si="4"/>
        <v>S</v>
      </c>
      <c r="AX6" s="35" t="str">
        <f t="shared" si="4"/>
        <v>S</v>
      </c>
      <c r="AY6" s="35" t="str">
        <f t="shared" si="4"/>
        <v>M</v>
      </c>
      <c r="AZ6" s="35" t="str">
        <f t="shared" si="4"/>
        <v>T</v>
      </c>
      <c r="BA6" s="35" t="str">
        <f t="shared" si="4"/>
        <v>W</v>
      </c>
      <c r="BB6" s="35" t="str">
        <f t="shared" si="4"/>
        <v>T</v>
      </c>
      <c r="BC6" s="35" t="str">
        <f t="shared" si="4"/>
        <v>F</v>
      </c>
      <c r="BD6" s="35" t="str">
        <f t="shared" si="4"/>
        <v>S</v>
      </c>
      <c r="BE6" s="35" t="str">
        <f t="shared" si="4"/>
        <v>S</v>
      </c>
      <c r="BF6" s="35" t="str">
        <f t="shared" si="4"/>
        <v>M</v>
      </c>
      <c r="BG6" s="35" t="str">
        <f t="shared" si="4"/>
        <v>T</v>
      </c>
      <c r="BH6" s="35" t="str">
        <f t="shared" si="4"/>
        <v>W</v>
      </c>
      <c r="BI6" s="35" t="str">
        <f t="shared" si="4"/>
        <v>T</v>
      </c>
      <c r="BJ6" s="35" t="str">
        <f t="shared" si="4"/>
        <v>F</v>
      </c>
      <c r="BK6" s="35" t="str">
        <f t="shared" si="4"/>
        <v>S</v>
      </c>
      <c r="BL6" s="36" t="str">
        <f t="shared" si="4"/>
        <v>S</v>
      </c>
    </row>
    <row r="7" spans="1:64" s="26" customFormat="1" ht="30" hidden="1" customHeight="1" thickBot="1">
      <c r="A7" s="13" t="s">
        <v>10</v>
      </c>
      <c r="B7" s="37"/>
      <c r="C7" s="38"/>
      <c r="D7" s="37"/>
      <c r="E7" s="37"/>
      <c r="F7" s="37"/>
      <c r="H7" s="26" t="str">
        <f ca="1">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6" customFormat="1" ht="30" customHeight="1" thickBot="1">
      <c r="A8" s="14"/>
      <c r="B8" s="40" t="s">
        <v>11</v>
      </c>
      <c r="C8" s="41"/>
      <c r="D8" s="42"/>
      <c r="E8" s="43"/>
      <c r="F8" s="44"/>
      <c r="G8" s="17"/>
      <c r="H8" s="5" t="str">
        <f t="shared" ref="H8:H31" ca="1" si="5">IF(OR(ISBLANK(task_start),ISBLANK(task_end)),"",task_end-task_start+1)</f>
        <v/>
      </c>
      <c r="I8" s="87"/>
      <c r="J8" s="87"/>
      <c r="K8" s="87"/>
      <c r="L8" s="87"/>
      <c r="M8" s="87"/>
      <c r="N8" s="87"/>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45"/>
      <c r="BF8" s="45"/>
      <c r="BG8" s="45"/>
      <c r="BH8" s="45"/>
      <c r="BI8" s="45"/>
      <c r="BJ8" s="45"/>
      <c r="BK8" s="45"/>
      <c r="BL8" s="45"/>
    </row>
    <row r="9" spans="1:64" s="46" customFormat="1" ht="30" customHeight="1" thickBot="1">
      <c r="A9" s="14"/>
      <c r="B9" s="47" t="s">
        <v>12</v>
      </c>
      <c r="C9" s="48" t="s">
        <v>13</v>
      </c>
      <c r="D9" s="49">
        <v>1</v>
      </c>
      <c r="E9" s="50">
        <v>46102</v>
      </c>
      <c r="F9" s="50">
        <f>E9+10</f>
        <v>46112</v>
      </c>
      <c r="G9" s="17"/>
      <c r="H9" s="5">
        <f t="shared" ca="1" si="5"/>
        <v>11</v>
      </c>
      <c r="I9" s="88"/>
      <c r="J9" s="88"/>
      <c r="K9" s="88"/>
      <c r="L9" s="88"/>
      <c r="M9" s="88"/>
      <c r="N9" s="88"/>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c r="AY9" s="88"/>
      <c r="AZ9" s="88"/>
      <c r="BA9" s="88"/>
      <c r="BB9" s="88"/>
      <c r="BC9" s="88"/>
      <c r="BD9" s="88"/>
      <c r="BE9" s="51"/>
      <c r="BF9" s="51"/>
      <c r="BG9" s="51"/>
      <c r="BH9" s="51"/>
      <c r="BI9" s="51"/>
      <c r="BJ9" s="51"/>
      <c r="BK9" s="51"/>
      <c r="BL9" s="51"/>
    </row>
    <row r="10" spans="1:64" s="46" customFormat="1" ht="30" customHeight="1" thickBot="1">
      <c r="A10" s="14"/>
      <c r="B10" s="52" t="s">
        <v>14</v>
      </c>
      <c r="C10" s="53" t="s">
        <v>13</v>
      </c>
      <c r="D10" s="54">
        <v>1</v>
      </c>
      <c r="E10" s="55">
        <v>46122</v>
      </c>
      <c r="F10" s="55">
        <v>46126</v>
      </c>
      <c r="G10" s="17"/>
      <c r="H10" s="5">
        <f t="shared" ca="1" si="5"/>
        <v>5</v>
      </c>
      <c r="I10" s="88"/>
      <c r="J10" s="88"/>
      <c r="K10" s="88"/>
      <c r="L10" s="88"/>
      <c r="M10" s="88"/>
      <c r="N10" s="88"/>
      <c r="O10" s="88"/>
      <c r="P10" s="88"/>
      <c r="Q10" s="88"/>
      <c r="R10" s="88"/>
      <c r="S10" s="88"/>
      <c r="T10" s="88"/>
      <c r="U10" s="89"/>
      <c r="V10" s="89"/>
      <c r="W10" s="88"/>
      <c r="X10" s="88"/>
      <c r="Y10" s="88"/>
      <c r="Z10" s="88"/>
      <c r="AA10" s="88"/>
      <c r="AB10" s="88"/>
      <c r="AC10" s="88"/>
      <c r="AD10" s="88"/>
      <c r="AE10" s="88"/>
      <c r="AF10" s="88"/>
      <c r="AG10" s="88"/>
      <c r="AH10" s="103"/>
      <c r="AI10" s="104"/>
      <c r="AJ10" s="104"/>
      <c r="AK10" s="104"/>
      <c r="AL10" s="105"/>
      <c r="AM10" s="88"/>
      <c r="AN10" s="88"/>
      <c r="AO10" s="88"/>
      <c r="AP10" s="88"/>
      <c r="AQ10" s="88"/>
      <c r="AR10" s="88"/>
      <c r="AS10" s="88"/>
      <c r="AT10" s="88"/>
      <c r="AU10" s="88"/>
      <c r="AV10" s="88"/>
      <c r="AW10" s="88"/>
      <c r="AX10" s="88"/>
      <c r="AY10" s="88"/>
      <c r="AZ10" s="88"/>
      <c r="BA10" s="88"/>
      <c r="BB10" s="88"/>
      <c r="BC10" s="88"/>
      <c r="BD10" s="88"/>
      <c r="BE10" s="51"/>
      <c r="BF10" s="51"/>
      <c r="BG10" s="51"/>
      <c r="BH10" s="51"/>
      <c r="BI10" s="51"/>
      <c r="BJ10" s="51"/>
      <c r="BK10" s="51"/>
      <c r="BL10" s="51"/>
    </row>
    <row r="11" spans="1:64" s="46" customFormat="1" ht="30" customHeight="1" thickBot="1">
      <c r="A11" s="13"/>
      <c r="B11" s="52" t="s">
        <v>15</v>
      </c>
      <c r="C11" s="53" t="s">
        <v>13</v>
      </c>
      <c r="D11" s="54">
        <v>1</v>
      </c>
      <c r="E11" s="55">
        <v>46127</v>
      </c>
      <c r="F11" s="55">
        <v>46130</v>
      </c>
      <c r="G11" s="17"/>
      <c r="H11" s="5">
        <f t="shared" ca="1" si="5"/>
        <v>4</v>
      </c>
      <c r="I11" s="88"/>
      <c r="J11" s="88"/>
      <c r="K11" s="88"/>
      <c r="L11" s="88"/>
      <c r="M11" s="88"/>
      <c r="N11" s="88"/>
      <c r="O11" s="88"/>
      <c r="P11" s="88"/>
      <c r="Q11" s="88"/>
      <c r="R11" s="88"/>
      <c r="S11" s="88"/>
      <c r="T11" s="88"/>
      <c r="U11" s="8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c r="AZ11" s="88"/>
      <c r="BA11" s="88"/>
      <c r="BB11" s="88"/>
      <c r="BC11" s="88"/>
      <c r="BD11" s="88"/>
      <c r="BE11" s="51"/>
      <c r="BF11" s="51"/>
      <c r="BG11" s="51"/>
      <c r="BH11" s="51"/>
      <c r="BI11" s="51"/>
      <c r="BJ11" s="51"/>
      <c r="BK11" s="51"/>
      <c r="BL11" s="51"/>
    </row>
    <row r="12" spans="1:64" s="46" customFormat="1" ht="30" customHeight="1" thickBot="1">
      <c r="A12" s="13"/>
      <c r="B12" s="52" t="s">
        <v>16</v>
      </c>
      <c r="C12" s="53" t="s">
        <v>13</v>
      </c>
      <c r="D12" s="54">
        <v>1</v>
      </c>
      <c r="E12" s="55">
        <v>46131</v>
      </c>
      <c r="F12" s="55">
        <v>46136</v>
      </c>
      <c r="G12" s="17"/>
      <c r="H12" s="5">
        <f t="shared" ca="1" si="5"/>
        <v>6</v>
      </c>
      <c r="I12" s="88"/>
      <c r="J12" s="88"/>
      <c r="K12" s="88"/>
      <c r="L12" s="88"/>
      <c r="M12" s="88"/>
      <c r="N12" s="88"/>
      <c r="O12" s="88"/>
      <c r="P12" s="88"/>
      <c r="Q12" s="88"/>
      <c r="R12" s="88"/>
      <c r="S12" s="88"/>
      <c r="T12" s="88"/>
      <c r="U12" s="88"/>
      <c r="V12" s="88"/>
      <c r="W12" s="88"/>
      <c r="X12" s="88"/>
      <c r="Y12" s="89"/>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c r="AZ12" s="88"/>
      <c r="BA12" s="88"/>
      <c r="BB12" s="88"/>
      <c r="BC12" s="88"/>
      <c r="BD12" s="88"/>
      <c r="BE12" s="51"/>
      <c r="BF12" s="51"/>
      <c r="BG12" s="51"/>
      <c r="BH12" s="51"/>
      <c r="BI12" s="51"/>
      <c r="BJ12" s="51"/>
      <c r="BK12" s="51"/>
      <c r="BL12" s="51"/>
    </row>
    <row r="13" spans="1:64" s="46" customFormat="1" ht="30" customHeight="1" thickBot="1">
      <c r="A13" s="13"/>
      <c r="B13" s="52" t="s">
        <v>17</v>
      </c>
      <c r="C13" s="53" t="s">
        <v>13</v>
      </c>
      <c r="D13" s="54">
        <v>1</v>
      </c>
      <c r="E13" s="55">
        <v>46125</v>
      </c>
      <c r="F13" s="55">
        <v>46131</v>
      </c>
      <c r="G13" s="17"/>
      <c r="H13" s="5">
        <f t="shared" ca="1" si="5"/>
        <v>7</v>
      </c>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c r="AZ13" s="88"/>
      <c r="BA13" s="88"/>
      <c r="BB13" s="88"/>
      <c r="BC13" s="88"/>
      <c r="BD13" s="88"/>
      <c r="BE13" s="51"/>
      <c r="BF13" s="51"/>
      <c r="BG13" s="51"/>
      <c r="BH13" s="51"/>
      <c r="BI13" s="51"/>
      <c r="BJ13" s="51"/>
      <c r="BK13" s="51"/>
      <c r="BL13" s="51"/>
    </row>
    <row r="14" spans="1:64" s="46" customFormat="1" ht="30" customHeight="1" thickBot="1">
      <c r="A14" s="14"/>
      <c r="B14" s="56" t="s">
        <v>18</v>
      </c>
      <c r="C14" s="57"/>
      <c r="D14" s="58"/>
      <c r="E14" s="59"/>
      <c r="F14" s="60"/>
      <c r="G14" s="17"/>
      <c r="H14" s="5" t="str">
        <f t="shared" ca="1" si="5"/>
        <v/>
      </c>
      <c r="I14" s="90"/>
      <c r="J14" s="90"/>
      <c r="K14" s="90"/>
      <c r="L14" s="90"/>
      <c r="M14" s="90"/>
      <c r="N14" s="90"/>
      <c r="O14" s="90"/>
      <c r="P14" s="90"/>
      <c r="Q14" s="90"/>
      <c r="R14" s="90"/>
      <c r="S14" s="90"/>
      <c r="T14" s="90"/>
      <c r="U14" s="90"/>
      <c r="V14" s="90"/>
      <c r="W14" s="90"/>
      <c r="X14" s="90"/>
      <c r="Y14" s="90"/>
      <c r="Z14" s="90"/>
      <c r="AA14" s="90"/>
      <c r="AB14" s="90"/>
      <c r="AC14" s="90"/>
      <c r="AD14" s="90"/>
      <c r="AE14" s="90"/>
      <c r="AF14" s="90"/>
      <c r="AG14" s="90"/>
      <c r="AH14" s="90"/>
      <c r="AI14" s="90"/>
      <c r="AJ14" s="90"/>
      <c r="AK14" s="90"/>
      <c r="AL14" s="90"/>
      <c r="AM14" s="90"/>
      <c r="AN14" s="90"/>
      <c r="AO14" s="90"/>
      <c r="AP14" s="90"/>
      <c r="AQ14" s="90"/>
      <c r="AR14" s="90"/>
      <c r="AS14" s="90"/>
      <c r="AT14" s="90"/>
      <c r="AU14" s="90"/>
      <c r="AV14" s="90"/>
      <c r="AW14" s="90"/>
      <c r="AX14" s="90"/>
      <c r="AY14" s="90"/>
      <c r="AZ14" s="90"/>
      <c r="BA14" s="90"/>
      <c r="BB14" s="90"/>
      <c r="BC14" s="90"/>
      <c r="BD14" s="90"/>
    </row>
    <row r="15" spans="1:64" s="46" customFormat="1" ht="30" customHeight="1" thickBot="1">
      <c r="A15" s="14"/>
      <c r="B15" s="61" t="s">
        <v>19</v>
      </c>
      <c r="C15" s="62" t="s">
        <v>20</v>
      </c>
      <c r="D15" s="63">
        <v>1</v>
      </c>
      <c r="E15" s="93">
        <v>46098</v>
      </c>
      <c r="F15" s="93">
        <f>E15+2</f>
        <v>46100</v>
      </c>
      <c r="G15" s="17"/>
      <c r="H15" s="5">
        <f t="shared" ca="1" si="5"/>
        <v>3</v>
      </c>
      <c r="I15" s="88"/>
      <c r="J15" s="88"/>
      <c r="K15" s="88"/>
      <c r="L15" s="88"/>
      <c r="M15" s="88"/>
      <c r="N15" s="88"/>
      <c r="O15" s="88"/>
      <c r="P15" s="88"/>
      <c r="Q15" s="8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c r="AZ15" s="88"/>
      <c r="BA15" s="88"/>
      <c r="BB15" s="88"/>
      <c r="BC15" s="88"/>
      <c r="BD15" s="88"/>
      <c r="BE15" s="51"/>
      <c r="BF15" s="51"/>
      <c r="BG15" s="51"/>
      <c r="BH15" s="51"/>
      <c r="BI15" s="51"/>
      <c r="BJ15" s="51"/>
      <c r="BK15" s="51"/>
      <c r="BL15" s="51"/>
    </row>
    <row r="16" spans="1:64" s="46" customFormat="1" ht="30" customHeight="1" thickBot="1">
      <c r="A16" s="13"/>
      <c r="B16" s="61" t="s">
        <v>21</v>
      </c>
      <c r="C16" s="62" t="s">
        <v>20</v>
      </c>
      <c r="D16" s="63">
        <v>1</v>
      </c>
      <c r="E16" s="64">
        <v>46100</v>
      </c>
      <c r="F16" s="93">
        <f>E16+5</f>
        <v>46105</v>
      </c>
      <c r="G16" s="17"/>
      <c r="H16" s="5">
        <f t="shared" ca="1" si="5"/>
        <v>6</v>
      </c>
      <c r="I16" s="88"/>
      <c r="J16" s="88"/>
      <c r="K16" s="88"/>
      <c r="L16" s="88"/>
      <c r="M16" s="88"/>
      <c r="N16" s="88"/>
      <c r="O16" s="88"/>
      <c r="P16" s="88"/>
      <c r="Q16" s="88"/>
      <c r="R16" s="88"/>
      <c r="S16" s="88"/>
      <c r="T16" s="88"/>
      <c r="U16" s="89"/>
      <c r="V16" s="89"/>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88"/>
      <c r="BB16" s="88"/>
      <c r="BC16" s="88"/>
      <c r="BD16" s="88"/>
      <c r="BE16" s="51"/>
      <c r="BF16" s="51"/>
      <c r="BG16" s="51"/>
      <c r="BH16" s="51"/>
      <c r="BI16" s="51"/>
      <c r="BJ16" s="51"/>
      <c r="BK16" s="51"/>
      <c r="BL16" s="51"/>
    </row>
    <row r="17" spans="1:64" s="46" customFormat="1" ht="30" customHeight="1" thickBot="1">
      <c r="A17" s="13"/>
      <c r="B17" s="61" t="s">
        <v>22</v>
      </c>
      <c r="C17" s="62" t="s">
        <v>20</v>
      </c>
      <c r="D17" s="63">
        <v>1</v>
      </c>
      <c r="E17" s="64">
        <v>46105</v>
      </c>
      <c r="F17" s="93">
        <f>E17+7</f>
        <v>46112</v>
      </c>
      <c r="G17" s="17"/>
      <c r="H17" s="5">
        <f t="shared" ca="1" si="5"/>
        <v>8</v>
      </c>
      <c r="I17" s="88"/>
      <c r="J17" s="88"/>
      <c r="K17" s="88"/>
      <c r="L17" s="88"/>
      <c r="M17" s="88"/>
      <c r="N17" s="88"/>
      <c r="O17" s="88"/>
      <c r="P17" s="88"/>
      <c r="Q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88"/>
      <c r="BD17" s="88"/>
      <c r="BE17" s="51"/>
      <c r="BF17" s="51"/>
      <c r="BG17" s="51"/>
      <c r="BH17" s="51"/>
      <c r="BI17" s="51"/>
      <c r="BJ17" s="51"/>
      <c r="BK17" s="51"/>
      <c r="BL17" s="51"/>
    </row>
    <row r="18" spans="1:64" s="46" customFormat="1" ht="30" customHeight="1" thickBot="1">
      <c r="A18" s="13"/>
      <c r="B18" s="61" t="s">
        <v>23</v>
      </c>
      <c r="C18" s="62" t="s">
        <v>20</v>
      </c>
      <c r="D18" s="63">
        <v>1</v>
      </c>
      <c r="E18" s="64">
        <v>46112</v>
      </c>
      <c r="F18" s="93">
        <f>E18+2</f>
        <v>46114</v>
      </c>
      <c r="G18" s="17"/>
      <c r="H18" s="5">
        <f t="shared" ca="1" si="5"/>
        <v>3</v>
      </c>
      <c r="I18" s="88"/>
      <c r="J18" s="88"/>
      <c r="K18" s="88"/>
      <c r="L18" s="88"/>
      <c r="M18" s="88"/>
      <c r="N18" s="88"/>
      <c r="O18" s="88"/>
      <c r="P18" s="88"/>
      <c r="Q18" s="88"/>
      <c r="R18" s="88"/>
      <c r="S18" s="88"/>
      <c r="T18" s="88"/>
      <c r="U18" s="88"/>
      <c r="V18" s="88"/>
      <c r="W18" s="88"/>
      <c r="X18" s="88"/>
      <c r="Y18" s="89"/>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88"/>
      <c r="BD18" s="88"/>
      <c r="BE18" s="51"/>
      <c r="BF18" s="51"/>
      <c r="BG18" s="51"/>
      <c r="BH18" s="51"/>
      <c r="BI18" s="51"/>
      <c r="BJ18" s="51"/>
      <c r="BK18" s="51"/>
      <c r="BL18" s="51"/>
    </row>
    <row r="19" spans="1:64" s="46" customFormat="1" ht="30" customHeight="1" thickBot="1">
      <c r="A19" s="13"/>
      <c r="B19" s="61" t="s">
        <v>24</v>
      </c>
      <c r="C19" s="62" t="s">
        <v>20</v>
      </c>
      <c r="D19" s="63">
        <v>1</v>
      </c>
      <c r="E19" s="64">
        <v>46122</v>
      </c>
      <c r="F19" s="64">
        <v>46136</v>
      </c>
      <c r="G19" s="17"/>
      <c r="H19" s="5">
        <f t="shared" ca="1" si="5"/>
        <v>15</v>
      </c>
      <c r="I19" s="88"/>
      <c r="J19" s="88"/>
      <c r="K19" s="88"/>
      <c r="L19" s="88"/>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88"/>
      <c r="BC19" s="88"/>
      <c r="BD19" s="88"/>
      <c r="BE19" s="51"/>
      <c r="BF19" s="51"/>
      <c r="BG19" s="51"/>
      <c r="BH19" s="51"/>
      <c r="BI19" s="51"/>
      <c r="BJ19" s="51"/>
      <c r="BK19" s="51"/>
      <c r="BL19" s="51"/>
    </row>
    <row r="20" spans="1:64" s="46" customFormat="1" ht="30" customHeight="1">
      <c r="A20" s="13"/>
      <c r="B20" s="61" t="s">
        <v>25</v>
      </c>
      <c r="C20" s="62" t="s">
        <v>20</v>
      </c>
      <c r="D20" s="63">
        <v>1</v>
      </c>
      <c r="E20" s="64">
        <v>46125</v>
      </c>
      <c r="F20" s="64">
        <v>46128</v>
      </c>
      <c r="G20" s="17"/>
      <c r="H20" s="5">
        <f t="shared" ca="1" si="5"/>
        <v>4</v>
      </c>
      <c r="I20" s="88"/>
      <c r="J20" s="88"/>
      <c r="K20" s="88"/>
      <c r="L20" s="88"/>
      <c r="M20" s="88"/>
      <c r="N20" s="88"/>
      <c r="O20" s="88"/>
      <c r="P20" s="88"/>
      <c r="Q20" s="88"/>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91"/>
      <c r="AX20" s="91"/>
      <c r="AY20" s="91"/>
      <c r="AZ20" s="91"/>
      <c r="BA20" s="91"/>
      <c r="BB20" s="91"/>
      <c r="BC20" s="91"/>
      <c r="BD20" s="91"/>
      <c r="BE20" s="65"/>
      <c r="BF20" s="65"/>
      <c r="BG20" s="65"/>
      <c r="BH20" s="65"/>
      <c r="BI20" s="65"/>
      <c r="BJ20" s="65"/>
      <c r="BK20" s="65"/>
      <c r="BL20" s="65"/>
    </row>
    <row r="21" spans="1:64" s="46" customFormat="1" ht="30" customHeight="1" thickBot="1">
      <c r="A21" s="13"/>
      <c r="B21" s="61" t="s">
        <v>26</v>
      </c>
      <c r="C21" s="62" t="s">
        <v>20</v>
      </c>
      <c r="D21" s="63">
        <v>1</v>
      </c>
      <c r="E21" s="64">
        <v>46129</v>
      </c>
      <c r="F21" s="64">
        <v>46133</v>
      </c>
      <c r="G21" s="17"/>
      <c r="H21" s="5">
        <f t="shared" ca="1" si="5"/>
        <v>5</v>
      </c>
      <c r="I21" s="88"/>
      <c r="J21" s="88"/>
      <c r="K21" s="88"/>
      <c r="L21" s="88"/>
      <c r="M21" s="88"/>
      <c r="N21" s="88"/>
      <c r="O21" s="88"/>
      <c r="P21" s="88"/>
      <c r="Q21" s="88"/>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88"/>
      <c r="BB21" s="88"/>
      <c r="BC21" s="88"/>
      <c r="BD21" s="88"/>
      <c r="BE21" s="51"/>
      <c r="BF21" s="51"/>
      <c r="BG21" s="51"/>
      <c r="BH21" s="51"/>
      <c r="BI21" s="51"/>
      <c r="BJ21" s="51"/>
      <c r="BK21" s="51"/>
      <c r="BL21" s="51"/>
    </row>
    <row r="22" spans="1:64" s="46" customFormat="1" ht="30" customHeight="1">
      <c r="A22" s="13"/>
      <c r="B22" s="61" t="s">
        <v>27</v>
      </c>
      <c r="C22" s="62" t="s">
        <v>20</v>
      </c>
      <c r="D22" s="63">
        <v>1</v>
      </c>
      <c r="E22" s="64">
        <v>46133</v>
      </c>
      <c r="F22" s="64">
        <v>46136</v>
      </c>
      <c r="G22" s="17"/>
      <c r="H22" s="5">
        <f t="shared" ca="1" si="5"/>
        <v>4</v>
      </c>
      <c r="I22" s="88"/>
      <c r="J22" s="88"/>
      <c r="K22" s="88"/>
      <c r="L22" s="88"/>
      <c r="M22" s="88"/>
      <c r="N22" s="88"/>
      <c r="O22" s="88"/>
      <c r="P22" s="88"/>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88"/>
      <c r="BD22" s="88"/>
      <c r="BE22" s="51"/>
      <c r="BF22" s="51"/>
      <c r="BG22" s="51"/>
      <c r="BH22" s="51"/>
      <c r="BI22" s="51"/>
      <c r="BJ22" s="51"/>
      <c r="BK22" s="51"/>
      <c r="BL22" s="51"/>
    </row>
    <row r="23" spans="1:64" s="46" customFormat="1" ht="30" customHeight="1" thickBot="1">
      <c r="A23" s="13"/>
      <c r="B23" s="61" t="s">
        <v>28</v>
      </c>
      <c r="C23" s="62" t="s">
        <v>20</v>
      </c>
      <c r="D23" s="63">
        <v>1</v>
      </c>
      <c r="E23" s="64">
        <v>46135</v>
      </c>
      <c r="F23" s="64">
        <v>46136</v>
      </c>
      <c r="G23" s="17"/>
      <c r="H23" s="5">
        <f t="shared" ca="1" si="5"/>
        <v>2</v>
      </c>
      <c r="I23" s="88"/>
      <c r="J23" s="88"/>
      <c r="K23" s="88"/>
      <c r="L23" s="88"/>
      <c r="M23" s="88"/>
      <c r="N23" s="88"/>
      <c r="O23" s="88"/>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88"/>
      <c r="BD23" s="88"/>
      <c r="BE23" s="51"/>
      <c r="BF23" s="51"/>
      <c r="BG23" s="51"/>
      <c r="BH23" s="51"/>
      <c r="BI23" s="51"/>
      <c r="BJ23" s="51"/>
      <c r="BK23" s="51"/>
      <c r="BL23" s="51"/>
    </row>
    <row r="24" spans="1:64" s="46" customFormat="1" ht="30" customHeight="1">
      <c r="A24" s="13"/>
      <c r="B24" s="94" t="s">
        <v>29</v>
      </c>
      <c r="C24" s="95"/>
      <c r="D24" s="96"/>
      <c r="E24" s="97"/>
      <c r="F24" s="98"/>
      <c r="G24" s="17"/>
      <c r="H24" s="5" t="str">
        <f t="shared" ca="1" si="5"/>
        <v/>
      </c>
      <c r="I24" s="92"/>
      <c r="J24" s="92"/>
      <c r="K24" s="92"/>
      <c r="L24" s="92"/>
      <c r="M24" s="92"/>
      <c r="N24" s="92"/>
      <c r="O24" s="92"/>
      <c r="P24" s="92"/>
      <c r="Q24" s="92"/>
      <c r="R24" s="92"/>
      <c r="S24" s="92"/>
      <c r="T24" s="92"/>
      <c r="U24" s="92"/>
      <c r="V24" s="92"/>
      <c r="W24" s="92"/>
      <c r="X24" s="92"/>
      <c r="Y24" s="92"/>
      <c r="Z24" s="92"/>
      <c r="AA24" s="92"/>
      <c r="AB24" s="92"/>
      <c r="AC24" s="92"/>
      <c r="AD24" s="92"/>
      <c r="AE24" s="92"/>
      <c r="AF24" s="92"/>
      <c r="AG24" s="92"/>
      <c r="AH24" s="92"/>
      <c r="AI24" s="92"/>
      <c r="AJ24" s="92"/>
      <c r="AK24" s="92"/>
      <c r="AL24" s="92"/>
      <c r="AM24" s="92"/>
      <c r="AN24" s="92"/>
      <c r="AO24" s="92"/>
      <c r="AP24" s="92"/>
      <c r="AQ24" s="92"/>
      <c r="AR24" s="92"/>
      <c r="AS24" s="92"/>
      <c r="AT24" s="92"/>
      <c r="AU24" s="92"/>
      <c r="AV24" s="92"/>
      <c r="AW24" s="92"/>
      <c r="AX24" s="92"/>
      <c r="AY24" s="92"/>
      <c r="AZ24" s="92"/>
      <c r="BA24" s="92"/>
      <c r="BB24" s="92"/>
      <c r="BC24" s="92"/>
      <c r="BD24" s="92"/>
      <c r="BE24" s="66"/>
      <c r="BF24" s="66"/>
      <c r="BG24" s="66"/>
      <c r="BH24" s="66"/>
      <c r="BI24" s="66"/>
      <c r="BJ24" s="66"/>
      <c r="BK24" s="66"/>
      <c r="BL24" s="66"/>
    </row>
    <row r="25" spans="1:64" s="46" customFormat="1" ht="30" customHeight="1" thickBot="1">
      <c r="A25" s="13"/>
      <c r="B25" s="99" t="s">
        <v>30</v>
      </c>
      <c r="C25" s="100" t="s">
        <v>31</v>
      </c>
      <c r="D25" s="101">
        <v>1</v>
      </c>
      <c r="E25" s="102">
        <v>46122</v>
      </c>
      <c r="F25" s="102">
        <f>E25</f>
        <v>46122</v>
      </c>
      <c r="G25" s="17"/>
      <c r="H25" s="5">
        <f t="shared" ca="1" si="5"/>
        <v>1</v>
      </c>
      <c r="I25" s="88"/>
      <c r="J25" s="88"/>
      <c r="K25" s="88"/>
      <c r="L25" s="88"/>
      <c r="M25" s="88"/>
      <c r="N25" s="88"/>
      <c r="O25" s="88"/>
      <c r="P25" s="88"/>
      <c r="Q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c r="AZ25" s="88"/>
      <c r="BA25" s="88"/>
      <c r="BB25" s="88"/>
      <c r="BC25" s="88"/>
      <c r="BD25" s="88"/>
      <c r="BE25" s="51"/>
      <c r="BF25" s="51"/>
      <c r="BG25" s="51"/>
      <c r="BH25" s="51"/>
      <c r="BI25" s="51"/>
      <c r="BJ25" s="51"/>
      <c r="BK25" s="51"/>
      <c r="BL25" s="51"/>
    </row>
    <row r="26" spans="1:64" s="46" customFormat="1" ht="30" customHeight="1">
      <c r="A26" s="13"/>
      <c r="B26" s="99" t="s">
        <v>32</v>
      </c>
      <c r="C26" s="100" t="s">
        <v>31</v>
      </c>
      <c r="D26" s="101">
        <v>1</v>
      </c>
      <c r="E26" s="102">
        <v>46131</v>
      </c>
      <c r="F26" s="102">
        <v>46131</v>
      </c>
      <c r="G26" s="17"/>
      <c r="H26" s="5">
        <f t="shared" ca="1" si="5"/>
        <v>1</v>
      </c>
      <c r="I26" s="88"/>
      <c r="J26" s="88"/>
      <c r="K26" s="88"/>
      <c r="L26" s="88"/>
      <c r="M26" s="88"/>
      <c r="N26" s="88"/>
      <c r="O26" s="88"/>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88"/>
      <c r="BB26" s="88"/>
      <c r="BC26" s="88"/>
      <c r="BD26" s="88"/>
      <c r="BE26" s="51"/>
      <c r="BF26" s="51"/>
      <c r="BG26" s="51"/>
      <c r="BH26" s="51"/>
      <c r="BI26" s="51"/>
      <c r="BJ26" s="51"/>
      <c r="BK26" s="51"/>
      <c r="BL26" s="51"/>
    </row>
    <row r="27" spans="1:64" s="46" customFormat="1" ht="30" customHeight="1" thickBot="1">
      <c r="A27" s="13"/>
      <c r="B27" s="99" t="s">
        <v>33</v>
      </c>
      <c r="C27" s="100" t="s">
        <v>34</v>
      </c>
      <c r="D27" s="101">
        <v>1</v>
      </c>
      <c r="E27" s="102">
        <v>46122</v>
      </c>
      <c r="F27" s="102">
        <v>46128</v>
      </c>
      <c r="G27" s="17"/>
      <c r="H27" s="5">
        <f t="shared" ca="1" si="5"/>
        <v>7</v>
      </c>
      <c r="I27" s="88"/>
      <c r="J27" s="88"/>
      <c r="K27" s="88"/>
      <c r="L27" s="88"/>
      <c r="M27" s="88"/>
      <c r="N27" s="88"/>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c r="AZ27" s="88"/>
      <c r="BA27" s="88"/>
      <c r="BB27" s="88"/>
      <c r="BC27" s="88"/>
      <c r="BD27" s="88"/>
      <c r="BE27" s="51"/>
      <c r="BF27" s="51"/>
      <c r="BG27" s="51"/>
      <c r="BH27" s="51"/>
      <c r="BI27" s="51"/>
      <c r="BJ27" s="51"/>
      <c r="BK27" s="51"/>
      <c r="BL27" s="51"/>
    </row>
    <row r="28" spans="1:64" s="46" customFormat="1" ht="30" customHeight="1" thickBot="1">
      <c r="A28" s="13"/>
      <c r="B28" s="99" t="s">
        <v>35</v>
      </c>
      <c r="C28" s="100" t="s">
        <v>34</v>
      </c>
      <c r="D28" s="101">
        <v>1</v>
      </c>
      <c r="E28" s="102">
        <v>46129</v>
      </c>
      <c r="F28" s="102">
        <v>46133</v>
      </c>
      <c r="G28" s="17"/>
      <c r="H28" s="5">
        <f t="shared" ca="1" si="5"/>
        <v>5</v>
      </c>
      <c r="I28" s="88"/>
      <c r="J28" s="88"/>
      <c r="K28" s="88"/>
      <c r="L28" s="88"/>
      <c r="M28" s="88"/>
      <c r="N28" s="88"/>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c r="AZ28" s="88"/>
      <c r="BA28" s="88"/>
      <c r="BB28" s="88"/>
      <c r="BC28" s="88"/>
      <c r="BD28" s="88"/>
      <c r="BE28" s="51"/>
      <c r="BF28" s="51"/>
      <c r="BG28" s="51"/>
      <c r="BH28" s="51"/>
      <c r="BI28" s="51"/>
      <c r="BJ28" s="51"/>
      <c r="BK28" s="51"/>
      <c r="BL28" s="51"/>
    </row>
    <row r="29" spans="1:64" s="46" customFormat="1" ht="30" customHeight="1" thickBot="1">
      <c r="A29" s="13"/>
      <c r="B29" s="99" t="s">
        <v>36</v>
      </c>
      <c r="C29" s="100" t="s">
        <v>34</v>
      </c>
      <c r="D29" s="101">
        <v>1</v>
      </c>
      <c r="E29" s="102">
        <v>46129</v>
      </c>
      <c r="F29" s="102">
        <v>46136</v>
      </c>
      <c r="G29" s="17"/>
      <c r="H29" s="5">
        <f t="shared" ca="1" si="5"/>
        <v>8</v>
      </c>
      <c r="I29" s="88"/>
      <c r="J29" s="88"/>
      <c r="K29" s="88"/>
      <c r="L29" s="88"/>
      <c r="M29" s="88"/>
      <c r="N29" s="88"/>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c r="AZ29" s="88"/>
      <c r="BA29" s="88"/>
      <c r="BB29" s="88"/>
      <c r="BC29" s="88"/>
      <c r="BD29" s="88"/>
      <c r="BE29" s="51"/>
      <c r="BF29" s="51"/>
      <c r="BG29" s="51"/>
      <c r="BH29" s="51"/>
      <c r="BI29" s="51"/>
      <c r="BJ29" s="51"/>
      <c r="BK29" s="51"/>
      <c r="BL29" s="51"/>
    </row>
    <row r="30" spans="1:64" s="46" customFormat="1" ht="30" customHeight="1" thickBot="1">
      <c r="A30" s="13"/>
      <c r="B30" s="67"/>
      <c r="C30" s="68"/>
      <c r="D30" s="69"/>
      <c r="E30" s="70"/>
      <c r="F30" s="70"/>
      <c r="G30" s="17"/>
      <c r="H30" s="5" t="str">
        <f t="shared" ca="1" si="5"/>
        <v/>
      </c>
      <c r="I30" s="87"/>
      <c r="J30" s="87"/>
      <c r="K30" s="87"/>
      <c r="L30" s="87"/>
      <c r="M30" s="87"/>
      <c r="N30" s="87"/>
      <c r="O30" s="87"/>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E30" s="45"/>
      <c r="BF30" s="45"/>
      <c r="BG30" s="45"/>
      <c r="BH30" s="45"/>
      <c r="BI30" s="45"/>
      <c r="BJ30" s="45"/>
      <c r="BK30" s="45"/>
      <c r="BL30" s="45"/>
    </row>
    <row r="31" spans="1:64" s="46" customFormat="1" ht="30" customHeight="1" thickBot="1">
      <c r="A31" s="14"/>
      <c r="B31" s="71" t="s">
        <v>37</v>
      </c>
      <c r="C31" s="72"/>
      <c r="D31" s="73"/>
      <c r="E31" s="74"/>
      <c r="F31" s="75"/>
      <c r="G31" s="17"/>
      <c r="H31" s="6" t="str">
        <f t="shared" ca="1" si="5"/>
        <v/>
      </c>
      <c r="I31" s="76"/>
      <c r="J31" s="76"/>
      <c r="K31" s="76"/>
      <c r="L31" s="76"/>
      <c r="M31" s="76"/>
      <c r="N31" s="76"/>
      <c r="O31" s="76"/>
      <c r="P31" s="76"/>
      <c r="Q31" s="76"/>
      <c r="R31" s="76"/>
      <c r="S31" s="76"/>
      <c r="T31" s="76"/>
      <c r="U31" s="76"/>
      <c r="V31" s="76"/>
      <c r="W31" s="76"/>
      <c r="X31" s="76"/>
      <c r="Y31" s="76"/>
      <c r="Z31" s="76"/>
      <c r="AA31" s="76"/>
      <c r="AB31" s="76"/>
      <c r="AC31" s="76"/>
      <c r="AD31" s="76"/>
      <c r="AE31" s="76"/>
      <c r="AF31" s="76"/>
      <c r="AG31" s="76"/>
      <c r="AH31" s="76"/>
      <c r="AI31" s="76"/>
      <c r="AJ31" s="76"/>
      <c r="AK31" s="76"/>
      <c r="AL31" s="76"/>
      <c r="AM31" s="76"/>
      <c r="AN31" s="76"/>
      <c r="AO31" s="76"/>
      <c r="AP31" s="76"/>
      <c r="AQ31" s="76"/>
      <c r="AR31" s="76"/>
      <c r="AS31" s="76"/>
      <c r="AT31" s="76"/>
      <c r="AU31" s="76"/>
      <c r="AV31" s="76"/>
      <c r="AW31" s="76"/>
      <c r="AX31" s="76"/>
      <c r="AY31" s="76"/>
      <c r="AZ31" s="76"/>
      <c r="BA31" s="76"/>
      <c r="BB31" s="76"/>
      <c r="BC31" s="76"/>
      <c r="BD31" s="76"/>
      <c r="BE31" s="76"/>
      <c r="BF31" s="76"/>
      <c r="BG31" s="76"/>
      <c r="BH31" s="76"/>
      <c r="BI31" s="76"/>
      <c r="BJ31" s="76"/>
      <c r="BK31" s="76"/>
      <c r="BL31" s="76"/>
    </row>
    <row r="32" spans="1:64" ht="30" customHeight="1">
      <c r="G32" s="3"/>
    </row>
    <row r="33" spans="3:6" ht="30" customHeight="1">
      <c r="C33" s="16"/>
      <c r="F33" s="15"/>
    </row>
    <row r="34" spans="3:6" ht="30" customHeight="1">
      <c r="C34" s="4"/>
    </row>
  </sheetData>
  <mergeCells count="19">
    <mergeCell ref="A5:A6"/>
    <mergeCell ref="B5:B6"/>
    <mergeCell ref="C5:C6"/>
    <mergeCell ref="D5:D6"/>
    <mergeCell ref="E5:E6"/>
    <mergeCell ref="F5:F6"/>
    <mergeCell ref="Q2:Z2"/>
    <mergeCell ref="Q1:Z1"/>
    <mergeCell ref="I1:O1"/>
    <mergeCell ref="I2:O2"/>
    <mergeCell ref="AH10:AL10"/>
    <mergeCell ref="BF4:BL4"/>
    <mergeCell ref="I4:O4"/>
    <mergeCell ref="P4:V4"/>
    <mergeCell ref="W4:AC4"/>
    <mergeCell ref="AD4:AJ4"/>
    <mergeCell ref="AK4:AQ4"/>
    <mergeCell ref="AR4:AX4"/>
    <mergeCell ref="AY4:BE4"/>
  </mergeCells>
  <conditionalFormatting sqref="D7:D31">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9 I10:AH10 AM10:BL10 I11:BL29">
    <cfRule type="expression" dxfId="8" priority="1">
      <formula>AND(TODAY()&gt;=I$5, TODAY()&lt;J$5)</formula>
    </cfRule>
  </conditionalFormatting>
  <conditionalFormatting sqref="I9:BL9 I10:AH10 AM10:BL10 I11:BL13">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5:BL19 I20:AV23">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AW21:BL23">
    <cfRule type="expression" dxfId="3" priority="2">
      <formula>AND(task_start&lt;=AW$5,ROUNDDOWN((task_end-task_start+1)*task_progress,0)+task_start-1&gt;=AW$5)</formula>
    </cfRule>
    <cfRule type="expression" dxfId="2" priority="3" stopIfTrue="1">
      <formula>AND(task_end&gt;=AW$5,task_start&lt;AX$5)</formula>
    </cfRule>
  </conditionalFormatting>
  <conditionalFormatting sqref="I25:BL29">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4"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1"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2.6"/>
  <cols>
    <col min="1" max="1" width="87" style="7" customWidth="1"/>
    <col min="2" max="16384" width="9" style="1"/>
  </cols>
  <sheetData>
    <row r="1" spans="1:2" ht="46.5" customHeight="1"/>
    <row r="2" spans="1:2" s="9" customFormat="1" ht="15.6">
      <c r="A2" s="80" t="s">
        <v>38</v>
      </c>
      <c r="B2" s="8"/>
    </row>
    <row r="3" spans="1:2" s="11" customFormat="1" ht="27" customHeight="1">
      <c r="A3" s="81"/>
      <c r="B3" s="12"/>
    </row>
    <row r="4" spans="1:2" s="10" customFormat="1" ht="30.6">
      <c r="A4" s="82" t="s">
        <v>39</v>
      </c>
    </row>
    <row r="5" spans="1:2" ht="74.25" customHeight="1">
      <c r="A5" s="83" t="s">
        <v>40</v>
      </c>
    </row>
    <row r="6" spans="1:2" ht="26.25" customHeight="1">
      <c r="A6" s="82" t="s">
        <v>41</v>
      </c>
    </row>
    <row r="7" spans="1:2" s="7" customFormat="1" ht="205.15" customHeight="1">
      <c r="A7" s="84" t="s">
        <v>42</v>
      </c>
    </row>
    <row r="8" spans="1:2" s="10" customFormat="1" ht="30.6">
      <c r="A8" s="82" t="s">
        <v>43</v>
      </c>
    </row>
    <row r="9" spans="1:2" ht="42">
      <c r="A9" s="83" t="s">
        <v>44</v>
      </c>
    </row>
    <row r="10" spans="1:2" s="7" customFormat="1" ht="28.15" customHeight="1">
      <c r="A10" s="85" t="s">
        <v>45</v>
      </c>
    </row>
    <row r="11" spans="1:2" s="10" customFormat="1" ht="30.6">
      <c r="A11" s="82" t="s">
        <v>46</v>
      </c>
    </row>
    <row r="12" spans="1:2" ht="27.95">
      <c r="A12" s="83" t="s">
        <v>47</v>
      </c>
    </row>
    <row r="13" spans="1:2" s="7" customFormat="1" ht="28.15" customHeight="1">
      <c r="A13" s="85" t="s">
        <v>48</v>
      </c>
    </row>
    <row r="14" spans="1:2" s="10" customFormat="1" ht="30.6">
      <c r="A14" s="82" t="s">
        <v>49</v>
      </c>
    </row>
    <row r="15" spans="1:2" ht="75" customHeight="1">
      <c r="A15" s="83" t="s">
        <v>50</v>
      </c>
    </row>
    <row r="16" spans="1:2" ht="69.95">
      <c r="A16" s="83" t="s">
        <v>51</v>
      </c>
    </row>
    <row r="17" spans="1:1">
      <c r="A17" s="86"/>
    </row>
    <row r="18" spans="1:1">
      <c r="A18" s="86"/>
    </row>
    <row r="19" spans="1:1">
      <c r="A19" s="86"/>
    </row>
    <row r="20" spans="1:1">
      <c r="A20" s="86"/>
    </row>
    <row r="21" spans="1:1">
      <c r="A21" s="86"/>
    </row>
    <row r="22" spans="1:1">
      <c r="A22" s="86"/>
    </row>
    <row r="23" spans="1:1">
      <c r="A23" s="86"/>
    </row>
    <row r="24" spans="1:1">
      <c r="A24" s="86"/>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245281-08F3-4104-84BD-39F3D8CFB195}"/>
</file>

<file path=customXml/itemProps2.xml><?xml version="1.0" encoding="utf-8"?>
<ds:datastoreItem xmlns:ds="http://schemas.openxmlformats.org/officeDocument/2006/customXml" ds:itemID="{A82239A0-E68C-493F-BEE6-C77FEA397FD6}"/>
</file>

<file path=customXml/itemProps3.xml><?xml version="1.0" encoding="utf-8"?>
<ds:datastoreItem xmlns:ds="http://schemas.openxmlformats.org/officeDocument/2006/customXml" ds:itemID="{C2348D59-3426-404A-A0C5-6456F6613EDB}"/>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2026-03-31T18:47:09Z</dcterms:created>
  <dcterms:modified xsi:type="dcterms:W3CDTF">2026-04-24T22:06:42Z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