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66" documentId="11_3C4179B01545E19DD6C385890107473B0B440F85" xr6:coauthVersionLast="47" xr6:coauthVersionMax="47" xr10:uidLastSave="{56512978-E2FA-41FE-8607-619B05D1FAFE}"/>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1" l="1"/>
  <c r="F9" i="11"/>
  <c r="F21" i="11"/>
  <c r="H7" i="11"/>
  <c r="I5" i="11" l="1"/>
  <c r="H33" i="11"/>
  <c r="H32" i="11"/>
  <c r="H26" i="11"/>
  <c r="H20" i="11"/>
  <c r="H14" i="11"/>
  <c r="H8" i="11"/>
  <c r="H21" i="11" l="1"/>
  <c r="H22" i="11"/>
  <c r="H9" i="11"/>
  <c r="I6" i="11"/>
  <c r="H31" i="11" l="1"/>
  <c r="H28" i="11"/>
  <c r="H30" i="11"/>
  <c r="H27" i="11"/>
  <c r="H25" i="11"/>
  <c r="H10" i="11"/>
  <c r="H23" i="11"/>
  <c r="H15" i="11"/>
  <c r="H13" i="11"/>
  <c r="J5" i="11"/>
  <c r="K5" i="11" s="1"/>
  <c r="L5" i="11" s="1"/>
  <c r="M5" i="11" s="1"/>
  <c r="N5" i="11" s="1"/>
  <c r="O5" i="11" s="1"/>
  <c r="P5" i="11" s="1"/>
  <c r="I4" i="11"/>
  <c r="H29" i="11" l="1"/>
  <c r="H24" i="11"/>
  <c r="H16" i="1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<sst xmlns="http://schemas.openxmlformats.org/spreadsheetml/2006/main" count="37" uniqueCount="35">
  <si>
    <t>Client Server</t>
  </si>
  <si>
    <t>Project start:</t>
  </si>
  <si>
    <t>DeSales Uni.</t>
  </si>
  <si>
    <t>Chris, Rafay, and Ben</t>
  </si>
  <si>
    <t>Display week:</t>
  </si>
  <si>
    <t>TASK</t>
  </si>
  <si>
    <t>ASSIGNED TO</t>
  </si>
  <si>
    <t>PROGRESS</t>
  </si>
  <si>
    <t>START</t>
  </si>
  <si>
    <t>END</t>
  </si>
  <si>
    <t xml:space="preserve">Do not delete this row. This row is hidden to preserve a formula that is used to highlight the current day within the project schedule. </t>
  </si>
  <si>
    <t>Client Implementation</t>
  </si>
  <si>
    <t>Phase 1 Code</t>
  </si>
  <si>
    <t>Ben</t>
  </si>
  <si>
    <t>Tasks TBD</t>
  </si>
  <si>
    <t>Server Implementation</t>
  </si>
  <si>
    <t>Chris</t>
  </si>
  <si>
    <t>Library Implementation/Meeting</t>
  </si>
  <si>
    <t>Next OOC Meeting</t>
  </si>
  <si>
    <t>All members</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</si>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</sst>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6"/>
        <bgColor indexed="64"/>
      </patternFill>
    </fill>
    <fill>
      <patternFill patternType="solid">
        <fgColor theme="6" tint="0.59999389629810485"/>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8" borderId="20" xfId="0" applyNumberFormat="1" applyFont="1" applyFill="1" applyBorder="1" applyAlignment="1">
      <alignment horizontal="center" vertical="center"/>
    </xf>
    <xf numFmtId="167" fontId="21" fillId="8" borderId="18" xfId="0" applyNumberFormat="1" applyFont="1" applyFill="1" applyBorder="1" applyAlignment="1">
      <alignment horizontal="center" vertical="center"/>
    </xf>
    <xf numFmtId="167" fontId="21" fillId="8"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5" borderId="0" xfId="0" applyFont="1" applyFill="1" applyAlignment="1">
      <alignment horizontal="left" vertical="center" indent="1"/>
    </xf>
    <xf numFmtId="0" fontId="19" fillId="5" borderId="0" xfId="11" applyFont="1" applyFill="1" applyBorder="1" applyAlignment="1">
      <alignment vertical="center"/>
    </xf>
    <xf numFmtId="9" fontId="1" fillId="5" borderId="0" xfId="2" applyFont="1" applyFill="1" applyBorder="1" applyAlignment="1">
      <alignment horizontal="center" vertical="center"/>
    </xf>
    <xf numFmtId="164" fontId="19" fillId="5" borderId="0" xfId="0" applyNumberFormat="1" applyFont="1" applyFill="1" applyAlignment="1">
      <alignment horizontal="center" vertical="center"/>
    </xf>
    <xf numFmtId="164" fontId="1" fillId="5"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4" fillId="0" borderId="11" xfId="0" applyFont="1" applyBorder="1" applyAlignment="1">
      <alignment vertical="center"/>
    </xf>
    <xf numFmtId="0" fontId="4" fillId="0" borderId="10" xfId="0" applyFont="1" applyBorder="1" applyAlignment="1">
      <alignment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4" fillId="9" borderId="12" xfId="0" applyFont="1" applyFill="1" applyBorder="1" applyAlignment="1">
      <alignment vertical="center"/>
    </xf>
    <xf numFmtId="0" fontId="4" fillId="9" borderId="4" xfId="0" applyFont="1" applyFill="1" applyBorder="1" applyAlignment="1">
      <alignment vertical="center"/>
    </xf>
    <xf numFmtId="0" fontId="4" fillId="9" borderId="4" xfId="0" applyFont="1" applyFill="1" applyBorder="1" applyAlignment="1">
      <alignment horizontal="right" vertical="center"/>
    </xf>
    <xf numFmtId="0" fontId="4" fillId="9" borderId="0" xfId="0" applyFont="1" applyFill="1" applyAlignment="1">
      <alignment vertical="center"/>
    </xf>
    <xf numFmtId="0" fontId="4" fillId="9" borderId="11" xfId="0" applyFont="1" applyFill="1" applyBorder="1" applyAlignment="1">
      <alignment vertical="center"/>
    </xf>
    <xf numFmtId="0" fontId="4" fillId="9" borderId="10" xfId="0" applyFont="1" applyFill="1" applyBorder="1" applyAlignment="1">
      <alignment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19" fillId="9" borderId="9" xfId="12" applyFont="1" applyFill="1" applyBorder="1">
      <alignment horizontal="left" vertical="center" indent="2"/>
    </xf>
    <xf numFmtId="0" fontId="19" fillId="9" borderId="9" xfId="11" applyFont="1" applyFill="1" applyBorder="1" applyAlignment="1">
      <alignment vertical="center"/>
    </xf>
    <xf numFmtId="9" fontId="1" fillId="9" borderId="9" xfId="2" applyFont="1" applyFill="1" applyBorder="1" applyAlignment="1">
      <alignment horizontal="center" vertical="center"/>
    </xf>
    <xf numFmtId="164" fontId="19" fillId="9" borderId="9" xfId="10" applyFont="1" applyFill="1" applyBorder="1">
      <alignment horizontal="center" vertical="center"/>
    </xf>
    <xf numFmtId="164" fontId="19" fillId="4" borderId="6" xfId="10" applyFont="1" applyFill="1" applyBorder="1">
      <alignment horizontal="center" vertical="center"/>
    </xf>
    <xf numFmtId="0" fontId="23" fillId="10" borderId="0" xfId="0" applyFont="1" applyFill="1" applyAlignment="1">
      <alignment horizontal="left" vertical="center" indent="1"/>
    </xf>
    <xf numFmtId="0" fontId="19" fillId="10" borderId="0" xfId="11" applyFont="1" applyFill="1" applyBorder="1" applyAlignment="1">
      <alignment vertical="center"/>
    </xf>
    <xf numFmtId="9" fontId="1" fillId="10" borderId="0" xfId="2" applyFont="1" applyFill="1" applyBorder="1" applyAlignment="1">
      <alignment horizontal="center" vertical="center"/>
    </xf>
    <xf numFmtId="164" fontId="19" fillId="10" borderId="0" xfId="0" applyNumberFormat="1" applyFont="1" applyFill="1" applyAlignment="1">
      <alignment horizontal="center" vertical="center"/>
    </xf>
    <xf numFmtId="164" fontId="1" fillId="10" borderId="0" xfId="0" applyNumberFormat="1" applyFont="1" applyFill="1" applyAlignment="1">
      <alignment horizontal="center" vertical="center"/>
    </xf>
    <xf numFmtId="0" fontId="19" fillId="11" borderId="8" xfId="12" applyFont="1" applyFill="1" applyBorder="1">
      <alignment horizontal="left" vertical="center" indent="2"/>
    </xf>
    <xf numFmtId="0" fontId="19" fillId="11" borderId="8" xfId="11" applyFont="1" applyFill="1" applyBorder="1" applyAlignment="1">
      <alignment vertical="center"/>
    </xf>
    <xf numFmtId="9" fontId="1" fillId="11" borderId="8" xfId="2" applyFont="1" applyFill="1" applyBorder="1" applyAlignment="1">
      <alignment horizontal="center" vertical="center"/>
    </xf>
    <xf numFmtId="164" fontId="19" fillId="11" borderId="8" xfId="10" applyFont="1" applyFill="1" applyBorder="1">
      <alignment horizontal="center" vertical="center"/>
    </xf>
    <xf numFmtId="0" fontId="13" fillId="0" borderId="0" xfId="3" applyAlignment="1">
      <alignment wrapText="1"/>
    </xf>
    <xf numFmtId="0" fontId="20" fillId="7"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7" borderId="16" xfId="0" applyFont="1" applyFill="1" applyBorder="1" applyAlignment="1">
      <alignment vertical="center"/>
    </xf>
    <xf numFmtId="0" fontId="20" fillId="7"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A11" zoomScaleNormal="100" zoomScalePageLayoutView="70" workbookViewId="0">
      <selection activeCell="D22" sqref="D22"/>
    </sheetView>
  </sheetViews>
  <sheetFormatPr defaultColWidth="8.75" defaultRowHeight="30" customHeight="1"/>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79" t="s">
        <v>0</v>
      </c>
      <c r="C1" s="18"/>
      <c r="D1" s="19"/>
      <c r="E1" s="20"/>
      <c r="F1" s="21"/>
      <c r="H1" s="1"/>
      <c r="I1" s="119" t="s">
        <v>1</v>
      </c>
      <c r="J1" s="123"/>
      <c r="K1" s="123"/>
      <c r="L1" s="123"/>
      <c r="M1" s="123"/>
      <c r="N1" s="123"/>
      <c r="O1" s="123"/>
      <c r="P1" s="24"/>
      <c r="Q1" s="118">
        <v>46098</v>
      </c>
      <c r="R1" s="124"/>
      <c r="S1" s="124"/>
      <c r="T1" s="124"/>
      <c r="U1" s="124"/>
      <c r="V1" s="124"/>
      <c r="W1" s="124"/>
      <c r="X1" s="124"/>
      <c r="Y1" s="124"/>
      <c r="Z1" s="124"/>
    </row>
    <row r="2" spans="1:64" ht="30" customHeight="1">
      <c r="B2" s="77" t="s">
        <v>2</v>
      </c>
      <c r="C2" s="78" t="s">
        <v>3</v>
      </c>
      <c r="D2" s="22"/>
      <c r="E2" s="23"/>
      <c r="F2" s="22"/>
      <c r="I2" s="119" t="s">
        <v>4</v>
      </c>
      <c r="J2" s="123"/>
      <c r="K2" s="123"/>
      <c r="L2" s="123"/>
      <c r="M2" s="123"/>
      <c r="N2" s="123"/>
      <c r="O2" s="123"/>
      <c r="P2" s="24"/>
      <c r="Q2" s="117">
        <v>1</v>
      </c>
      <c r="R2" s="124"/>
      <c r="S2" s="124"/>
      <c r="T2" s="124"/>
      <c r="U2" s="124"/>
      <c r="V2" s="124"/>
      <c r="W2" s="124"/>
      <c r="X2" s="124"/>
      <c r="Y2" s="124"/>
      <c r="Z2" s="124"/>
    </row>
    <row r="3" spans="1:64" s="26" customFormat="1" ht="30" customHeight="1">
      <c r="A3" s="13"/>
      <c r="B3" s="25"/>
      <c r="D3" s="27"/>
      <c r="E3" s="28"/>
    </row>
    <row r="4" spans="1:64" s="26" customFormat="1" ht="30" customHeight="1">
      <c r="A4" s="14"/>
      <c r="B4" s="29"/>
      <c r="E4" s="30"/>
      <c r="I4" s="122">
        <f>I5</f>
        <v>46097</v>
      </c>
      <c r="J4" s="120"/>
      <c r="K4" s="120"/>
      <c r="L4" s="120"/>
      <c r="M4" s="120"/>
      <c r="N4" s="120"/>
      <c r="O4" s="120"/>
      <c r="P4" s="120">
        <f>P5</f>
        <v>46104</v>
      </c>
      <c r="Q4" s="120"/>
      <c r="R4" s="120"/>
      <c r="S4" s="120"/>
      <c r="T4" s="120"/>
      <c r="U4" s="120"/>
      <c r="V4" s="120"/>
      <c r="W4" s="120">
        <f>W5</f>
        <v>46111</v>
      </c>
      <c r="X4" s="120"/>
      <c r="Y4" s="120"/>
      <c r="Z4" s="120"/>
      <c r="AA4" s="120"/>
      <c r="AB4" s="120"/>
      <c r="AC4" s="120"/>
      <c r="AD4" s="120">
        <f>AD5</f>
        <v>46118</v>
      </c>
      <c r="AE4" s="120"/>
      <c r="AF4" s="120"/>
      <c r="AG4" s="120"/>
      <c r="AH4" s="120"/>
      <c r="AI4" s="120"/>
      <c r="AJ4" s="120"/>
      <c r="AK4" s="120">
        <f>AK5</f>
        <v>46125</v>
      </c>
      <c r="AL4" s="120"/>
      <c r="AM4" s="120"/>
      <c r="AN4" s="120"/>
      <c r="AO4" s="120"/>
      <c r="AP4" s="120"/>
      <c r="AQ4" s="120"/>
      <c r="AR4" s="120">
        <f>AR5</f>
        <v>46132</v>
      </c>
      <c r="AS4" s="120"/>
      <c r="AT4" s="120"/>
      <c r="AU4" s="120"/>
      <c r="AV4" s="120"/>
      <c r="AW4" s="120"/>
      <c r="AX4" s="120"/>
      <c r="AY4" s="120">
        <f>AY5</f>
        <v>46139</v>
      </c>
      <c r="AZ4" s="120"/>
      <c r="BA4" s="120"/>
      <c r="BB4" s="120"/>
      <c r="BC4" s="120"/>
      <c r="BD4" s="120"/>
      <c r="BE4" s="120"/>
      <c r="BF4" s="120">
        <f>BF5</f>
        <v>46146</v>
      </c>
      <c r="BG4" s="120"/>
      <c r="BH4" s="120"/>
      <c r="BI4" s="120"/>
      <c r="BJ4" s="120"/>
      <c r="BK4" s="120"/>
      <c r="BL4" s="121"/>
    </row>
    <row r="5" spans="1:64" s="26" customFormat="1" ht="15" customHeight="1">
      <c r="A5" s="112"/>
      <c r="B5" s="113" t="s">
        <v>5</v>
      </c>
      <c r="C5" s="115" t="s">
        <v>6</v>
      </c>
      <c r="D5" s="116" t="s">
        <v>7</v>
      </c>
      <c r="E5" s="116" t="s">
        <v>8</v>
      </c>
      <c r="F5" s="116" t="s">
        <v>9</v>
      </c>
      <c r="I5" s="31">
        <f>Project_Start-WEEKDAY(Project_Start,1)+2+7*(Display_Week-1)</f>
        <v>46097</v>
      </c>
      <c r="J5" s="31">
        <f>I5+1</f>
        <v>46098</v>
      </c>
      <c r="K5" s="31">
        <f t="shared" ref="K5:AX5" si="0">J5+1</f>
        <v>46099</v>
      </c>
      <c r="L5" s="31">
        <f t="shared" si="0"/>
        <v>46100</v>
      </c>
      <c r="M5" s="31">
        <f t="shared" si="0"/>
        <v>46101</v>
      </c>
      <c r="N5" s="31">
        <f t="shared" si="0"/>
        <v>46102</v>
      </c>
      <c r="O5" s="32">
        <f t="shared" si="0"/>
        <v>46103</v>
      </c>
      <c r="P5" s="33">
        <f>O5+1</f>
        <v>46104</v>
      </c>
      <c r="Q5" s="31">
        <f>P5+1</f>
        <v>46105</v>
      </c>
      <c r="R5" s="31">
        <f t="shared" si="0"/>
        <v>46106</v>
      </c>
      <c r="S5" s="31">
        <f t="shared" si="0"/>
        <v>46107</v>
      </c>
      <c r="T5" s="31">
        <f t="shared" si="0"/>
        <v>46108</v>
      </c>
      <c r="U5" s="31">
        <f t="shared" si="0"/>
        <v>46109</v>
      </c>
      <c r="V5" s="32">
        <f t="shared" si="0"/>
        <v>46110</v>
      </c>
      <c r="W5" s="33">
        <f>V5+1</f>
        <v>46111</v>
      </c>
      <c r="X5" s="31">
        <f>W5+1</f>
        <v>46112</v>
      </c>
      <c r="Y5" s="31">
        <f t="shared" si="0"/>
        <v>46113</v>
      </c>
      <c r="Z5" s="31">
        <f t="shared" si="0"/>
        <v>46114</v>
      </c>
      <c r="AA5" s="31">
        <f t="shared" si="0"/>
        <v>46115</v>
      </c>
      <c r="AB5" s="31">
        <f t="shared" si="0"/>
        <v>46116</v>
      </c>
      <c r="AC5" s="32">
        <f t="shared" si="0"/>
        <v>46117</v>
      </c>
      <c r="AD5" s="33">
        <f>AC5+1</f>
        <v>46118</v>
      </c>
      <c r="AE5" s="31">
        <f>AD5+1</f>
        <v>46119</v>
      </c>
      <c r="AF5" s="31">
        <f t="shared" si="0"/>
        <v>46120</v>
      </c>
      <c r="AG5" s="31">
        <f t="shared" si="0"/>
        <v>46121</v>
      </c>
      <c r="AH5" s="31">
        <f t="shared" si="0"/>
        <v>46122</v>
      </c>
      <c r="AI5" s="31">
        <f t="shared" si="0"/>
        <v>46123</v>
      </c>
      <c r="AJ5" s="32">
        <f t="shared" si="0"/>
        <v>46124</v>
      </c>
      <c r="AK5" s="33">
        <f>AJ5+1</f>
        <v>46125</v>
      </c>
      <c r="AL5" s="31">
        <f>AK5+1</f>
        <v>46126</v>
      </c>
      <c r="AM5" s="31">
        <f t="shared" si="0"/>
        <v>46127</v>
      </c>
      <c r="AN5" s="31">
        <f t="shared" si="0"/>
        <v>46128</v>
      </c>
      <c r="AO5" s="31">
        <f t="shared" si="0"/>
        <v>46129</v>
      </c>
      <c r="AP5" s="31">
        <f t="shared" si="0"/>
        <v>46130</v>
      </c>
      <c r="AQ5" s="32">
        <f t="shared" si="0"/>
        <v>46131</v>
      </c>
      <c r="AR5" s="33">
        <f>AQ5+1</f>
        <v>46132</v>
      </c>
      <c r="AS5" s="31">
        <f>AR5+1</f>
        <v>46133</v>
      </c>
      <c r="AT5" s="31">
        <f t="shared" si="0"/>
        <v>46134</v>
      </c>
      <c r="AU5" s="31">
        <f t="shared" si="0"/>
        <v>46135</v>
      </c>
      <c r="AV5" s="31">
        <f t="shared" si="0"/>
        <v>46136</v>
      </c>
      <c r="AW5" s="31">
        <f t="shared" si="0"/>
        <v>46137</v>
      </c>
      <c r="AX5" s="32">
        <f t="shared" si="0"/>
        <v>46138</v>
      </c>
      <c r="AY5" s="33">
        <f>AX5+1</f>
        <v>46139</v>
      </c>
      <c r="AZ5" s="31">
        <f>AY5+1</f>
        <v>46140</v>
      </c>
      <c r="BA5" s="31">
        <f t="shared" ref="BA5:BE5" si="1">AZ5+1</f>
        <v>46141</v>
      </c>
      <c r="BB5" s="31">
        <f t="shared" si="1"/>
        <v>46142</v>
      </c>
      <c r="BC5" s="31">
        <f t="shared" si="1"/>
        <v>46143</v>
      </c>
      <c r="BD5" s="31">
        <f t="shared" si="1"/>
        <v>46144</v>
      </c>
      <c r="BE5" s="32">
        <f t="shared" si="1"/>
        <v>46145</v>
      </c>
      <c r="BF5" s="33">
        <f>BE5+1</f>
        <v>46146</v>
      </c>
      <c r="BG5" s="31">
        <f>BF5+1</f>
        <v>46147</v>
      </c>
      <c r="BH5" s="31">
        <f t="shared" ref="BH5:BL5" si="2">BG5+1</f>
        <v>46148</v>
      </c>
      <c r="BI5" s="31">
        <f t="shared" si="2"/>
        <v>46149</v>
      </c>
      <c r="BJ5" s="31">
        <f t="shared" si="2"/>
        <v>46150</v>
      </c>
      <c r="BK5" s="31">
        <f t="shared" si="2"/>
        <v>46151</v>
      </c>
      <c r="BL5" s="31">
        <f t="shared" si="2"/>
        <v>46152</v>
      </c>
    </row>
    <row r="6" spans="1:64" s="26" customFormat="1" ht="15" customHeight="1" thickBot="1">
      <c r="A6" s="112"/>
      <c r="B6" s="114"/>
      <c r="C6" s="125"/>
      <c r="D6" s="125"/>
      <c r="E6" s="125"/>
      <c r="F6" s="125"/>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c r="A7" s="13" t="s">
        <v>10</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11</v>
      </c>
      <c r="C8" s="41"/>
      <c r="D8" s="42"/>
      <c r="E8" s="43"/>
      <c r="F8" s="44"/>
      <c r="G8" s="17"/>
      <c r="H8" s="5" t="str">
        <f t="shared" ref="H8:H33" ca="1" si="5">IF(OR(ISBLANK(task_start),ISBLANK(task_end)),"",task_end-task_start+1)</f>
        <v/>
      </c>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45"/>
      <c r="BF8" s="45"/>
      <c r="BG8" s="45"/>
      <c r="BH8" s="45"/>
      <c r="BI8" s="45"/>
      <c r="BJ8" s="45"/>
      <c r="BK8" s="45"/>
      <c r="BL8" s="45"/>
    </row>
    <row r="9" spans="1:64" s="46" customFormat="1" ht="30" customHeight="1" thickBot="1">
      <c r="A9" s="14"/>
      <c r="B9" s="47" t="s">
        <v>12</v>
      </c>
      <c r="C9" s="48" t="s">
        <v>13</v>
      </c>
      <c r="D9" s="49">
        <v>1</v>
      </c>
      <c r="E9" s="50">
        <v>46102</v>
      </c>
      <c r="F9" s="50">
        <f>E9+10</f>
        <v>46112</v>
      </c>
      <c r="G9" s="17"/>
      <c r="H9" s="5">
        <f t="shared" ca="1" si="5"/>
        <v>11</v>
      </c>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c r="AZ9" s="88"/>
      <c r="BA9" s="88"/>
      <c r="BB9" s="88"/>
      <c r="BC9" s="88"/>
      <c r="BD9" s="88"/>
      <c r="BE9" s="51"/>
      <c r="BF9" s="51"/>
      <c r="BG9" s="51"/>
      <c r="BH9" s="51"/>
      <c r="BI9" s="51"/>
      <c r="BJ9" s="51"/>
      <c r="BK9" s="51"/>
      <c r="BL9" s="51"/>
    </row>
    <row r="10" spans="1:64" s="46" customFormat="1" ht="30" customHeight="1" thickBot="1">
      <c r="A10" s="14"/>
      <c r="B10" s="52" t="s">
        <v>14</v>
      </c>
      <c r="C10" s="53"/>
      <c r="D10" s="54"/>
      <c r="E10" s="55"/>
      <c r="F10" s="55"/>
      <c r="G10" s="17"/>
      <c r="H10" s="5" t="str">
        <f t="shared" ca="1" si="5"/>
        <v/>
      </c>
      <c r="I10" s="88"/>
      <c r="J10" s="88"/>
      <c r="K10" s="88"/>
      <c r="L10" s="88"/>
      <c r="M10" s="88"/>
      <c r="N10" s="88"/>
      <c r="O10" s="88"/>
      <c r="P10" s="88"/>
      <c r="Q10" s="88"/>
      <c r="R10" s="88"/>
      <c r="S10" s="88"/>
      <c r="T10" s="88"/>
      <c r="U10" s="89"/>
      <c r="V10" s="89"/>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c r="AZ10" s="88"/>
      <c r="BA10" s="88"/>
      <c r="BB10" s="88"/>
      <c r="BC10" s="88"/>
      <c r="BD10" s="88"/>
      <c r="BE10" s="51"/>
      <c r="BF10" s="51"/>
      <c r="BG10" s="51"/>
      <c r="BH10" s="51"/>
      <c r="BI10" s="51"/>
      <c r="BJ10" s="51"/>
      <c r="BK10" s="51"/>
      <c r="BL10" s="51"/>
    </row>
    <row r="11" spans="1:64" s="46" customFormat="1" ht="30" customHeight="1" thickBot="1">
      <c r="A11" s="13"/>
      <c r="B11" s="52"/>
      <c r="C11" s="53"/>
      <c r="D11" s="54"/>
      <c r="E11" s="55"/>
      <c r="F11" s="55"/>
      <c r="G11" s="17"/>
      <c r="H11" s="5" t="str">
        <f t="shared" ca="1" si="5"/>
        <v/>
      </c>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51"/>
      <c r="BF11" s="51"/>
      <c r="BG11" s="51"/>
      <c r="BH11" s="51"/>
      <c r="BI11" s="51"/>
      <c r="BJ11" s="51"/>
      <c r="BK11" s="51"/>
      <c r="BL11" s="51"/>
    </row>
    <row r="12" spans="1:64" s="46" customFormat="1" ht="30" customHeight="1" thickBot="1">
      <c r="A12" s="13"/>
      <c r="B12" s="52"/>
      <c r="C12" s="53"/>
      <c r="D12" s="54"/>
      <c r="E12" s="55"/>
      <c r="F12" s="55"/>
      <c r="G12" s="17"/>
      <c r="H12" s="5" t="str">
        <f t="shared" ca="1" si="5"/>
        <v/>
      </c>
      <c r="I12" s="88"/>
      <c r="J12" s="88"/>
      <c r="K12" s="88"/>
      <c r="L12" s="88"/>
      <c r="M12" s="88"/>
      <c r="N12" s="88"/>
      <c r="O12" s="88"/>
      <c r="P12" s="88"/>
      <c r="Q12" s="88"/>
      <c r="R12" s="88"/>
      <c r="S12" s="88"/>
      <c r="T12" s="88"/>
      <c r="U12" s="88"/>
      <c r="V12" s="88"/>
      <c r="W12" s="88"/>
      <c r="X12" s="88"/>
      <c r="Y12" s="89"/>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51"/>
      <c r="BF12" s="51"/>
      <c r="BG12" s="51"/>
      <c r="BH12" s="51"/>
      <c r="BI12" s="51"/>
      <c r="BJ12" s="51"/>
      <c r="BK12" s="51"/>
      <c r="BL12" s="51"/>
    </row>
    <row r="13" spans="1:64" s="46" customFormat="1" ht="30" customHeight="1" thickBot="1">
      <c r="A13" s="13"/>
      <c r="B13" s="52"/>
      <c r="C13" s="53"/>
      <c r="D13" s="54"/>
      <c r="E13" s="55"/>
      <c r="F13" s="55"/>
      <c r="G13" s="17"/>
      <c r="H13" s="5" t="str">
        <f t="shared" ca="1" si="5"/>
        <v/>
      </c>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51"/>
      <c r="BF13" s="51"/>
      <c r="BG13" s="51"/>
      <c r="BH13" s="51"/>
      <c r="BI13" s="51"/>
      <c r="BJ13" s="51"/>
      <c r="BK13" s="51"/>
      <c r="BL13" s="51"/>
    </row>
    <row r="14" spans="1:64" s="46" customFormat="1" ht="30" customHeight="1" thickBot="1">
      <c r="A14" s="14"/>
      <c r="B14" s="56" t="s">
        <v>15</v>
      </c>
      <c r="C14" s="57"/>
      <c r="D14" s="58"/>
      <c r="E14" s="59"/>
      <c r="F14" s="60"/>
      <c r="G14" s="17"/>
      <c r="H14" s="5" t="str">
        <f t="shared" ca="1" si="5"/>
        <v/>
      </c>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0"/>
      <c r="BD14" s="90"/>
    </row>
    <row r="15" spans="1:64" s="46" customFormat="1" ht="30" customHeight="1" thickBot="1">
      <c r="A15" s="14"/>
      <c r="B15" s="61" t="s">
        <v>12</v>
      </c>
      <c r="C15" s="62" t="s">
        <v>16</v>
      </c>
      <c r="D15" s="63">
        <v>1</v>
      </c>
      <c r="E15" s="102">
        <v>46102</v>
      </c>
      <c r="F15" s="102">
        <f>E15+10</f>
        <v>46112</v>
      </c>
      <c r="G15" s="17"/>
      <c r="H15" s="5">
        <f t="shared" ca="1" si="5"/>
        <v>11</v>
      </c>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51"/>
      <c r="BF15" s="51"/>
      <c r="BG15" s="51"/>
      <c r="BH15" s="51"/>
      <c r="BI15" s="51"/>
      <c r="BJ15" s="51"/>
      <c r="BK15" s="51"/>
      <c r="BL15" s="51"/>
    </row>
    <row r="16" spans="1:64" s="46" customFormat="1" ht="30" customHeight="1" thickBot="1">
      <c r="A16" s="13"/>
      <c r="B16" s="61" t="s">
        <v>14</v>
      </c>
      <c r="C16" s="62"/>
      <c r="D16" s="63"/>
      <c r="E16" s="64"/>
      <c r="F16" s="64"/>
      <c r="G16" s="17"/>
      <c r="H16" s="5" t="str">
        <f t="shared" ca="1" si="5"/>
        <v/>
      </c>
      <c r="I16" s="88"/>
      <c r="J16" s="88"/>
      <c r="K16" s="88"/>
      <c r="L16" s="88"/>
      <c r="M16" s="88"/>
      <c r="N16" s="88"/>
      <c r="O16" s="88"/>
      <c r="P16" s="88"/>
      <c r="Q16" s="88"/>
      <c r="R16" s="88"/>
      <c r="S16" s="88"/>
      <c r="T16" s="88"/>
      <c r="U16" s="89"/>
      <c r="V16" s="89"/>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51"/>
      <c r="BF16" s="51"/>
      <c r="BG16" s="51"/>
      <c r="BH16" s="51"/>
      <c r="BI16" s="51"/>
      <c r="BJ16" s="51"/>
      <c r="BK16" s="51"/>
      <c r="BL16" s="51"/>
    </row>
    <row r="17" spans="1:64" s="46" customFormat="1" ht="30" customHeight="1" thickBot="1">
      <c r="A17" s="13"/>
      <c r="B17" s="61"/>
      <c r="C17" s="62"/>
      <c r="D17" s="63"/>
      <c r="E17" s="64"/>
      <c r="F17" s="64"/>
      <c r="G17" s="17"/>
      <c r="H17" s="5" t="str">
        <f t="shared" ca="1" si="5"/>
        <v/>
      </c>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51"/>
      <c r="BF17" s="51"/>
      <c r="BG17" s="51"/>
      <c r="BH17" s="51"/>
      <c r="BI17" s="51"/>
      <c r="BJ17" s="51"/>
      <c r="BK17" s="51"/>
      <c r="BL17" s="51"/>
    </row>
    <row r="18" spans="1:64" s="46" customFormat="1" ht="30" customHeight="1" thickBot="1">
      <c r="A18" s="13"/>
      <c r="B18" s="61"/>
      <c r="C18" s="62"/>
      <c r="D18" s="63"/>
      <c r="E18" s="64"/>
      <c r="F18" s="64"/>
      <c r="G18" s="17"/>
      <c r="H18" s="5" t="str">
        <f t="shared" ca="1" si="5"/>
        <v/>
      </c>
      <c r="I18" s="88"/>
      <c r="J18" s="88"/>
      <c r="K18" s="88"/>
      <c r="L18" s="88"/>
      <c r="M18" s="88"/>
      <c r="N18" s="88"/>
      <c r="O18" s="88"/>
      <c r="P18" s="88"/>
      <c r="Q18" s="88"/>
      <c r="R18" s="88"/>
      <c r="S18" s="88"/>
      <c r="T18" s="88"/>
      <c r="U18" s="88"/>
      <c r="V18" s="88"/>
      <c r="W18" s="88"/>
      <c r="X18" s="88"/>
      <c r="Y18" s="89"/>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51"/>
      <c r="BF18" s="51"/>
      <c r="BG18" s="51"/>
      <c r="BH18" s="51"/>
      <c r="BI18" s="51"/>
      <c r="BJ18" s="51"/>
      <c r="BK18" s="51"/>
      <c r="BL18" s="51"/>
    </row>
    <row r="19" spans="1:64" s="46" customFormat="1" ht="30" customHeight="1" thickBot="1">
      <c r="A19" s="13"/>
      <c r="B19" s="61"/>
      <c r="C19" s="62"/>
      <c r="D19" s="63"/>
      <c r="E19" s="64"/>
      <c r="F19" s="64"/>
      <c r="G19" s="17"/>
      <c r="H19" s="5" t="str">
        <f t="shared" ca="1" si="5"/>
        <v/>
      </c>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51"/>
      <c r="BF19" s="51"/>
      <c r="BG19" s="51"/>
      <c r="BH19" s="51"/>
      <c r="BI19" s="51"/>
      <c r="BJ19" s="51"/>
      <c r="BK19" s="51"/>
      <c r="BL19" s="51"/>
    </row>
    <row r="20" spans="1:64" s="46" customFormat="1" ht="30" customHeight="1" thickBot="1">
      <c r="A20" s="13"/>
      <c r="B20" s="103" t="s">
        <v>17</v>
      </c>
      <c r="C20" s="104"/>
      <c r="D20" s="105"/>
      <c r="E20" s="106"/>
      <c r="F20" s="107"/>
      <c r="G20" s="17"/>
      <c r="H20" s="5" t="str">
        <f t="shared" ca="1" si="5"/>
        <v/>
      </c>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91"/>
      <c r="BB20" s="91"/>
      <c r="BC20" s="91"/>
      <c r="BD20" s="91"/>
      <c r="BE20" s="65"/>
      <c r="BF20" s="65"/>
      <c r="BG20" s="65"/>
      <c r="BH20" s="65"/>
      <c r="BI20" s="65"/>
      <c r="BJ20" s="65"/>
      <c r="BK20" s="65"/>
      <c r="BL20" s="65"/>
    </row>
    <row r="21" spans="1:64" s="46" customFormat="1" ht="30" customHeight="1" thickBot="1">
      <c r="A21" s="13"/>
      <c r="B21" s="108" t="s">
        <v>18</v>
      </c>
      <c r="C21" s="109" t="s">
        <v>19</v>
      </c>
      <c r="D21" s="110">
        <v>0</v>
      </c>
      <c r="E21" s="111">
        <v>46122</v>
      </c>
      <c r="F21" s="111">
        <f>E21</f>
        <v>46122</v>
      </c>
      <c r="G21" s="17"/>
      <c r="H21" s="5">
        <f t="shared" ca="1" si="5"/>
        <v>1</v>
      </c>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51"/>
      <c r="BF21" s="51"/>
      <c r="BG21" s="51"/>
      <c r="BH21" s="51"/>
      <c r="BI21" s="51"/>
      <c r="BJ21" s="51"/>
      <c r="BK21" s="51"/>
      <c r="BL21" s="51"/>
    </row>
    <row r="22" spans="1:64" s="46" customFormat="1" ht="30" customHeight="1" thickBot="1">
      <c r="A22" s="13"/>
      <c r="B22" s="108"/>
      <c r="C22" s="109"/>
      <c r="D22" s="110"/>
      <c r="E22" s="111"/>
      <c r="F22" s="111"/>
      <c r="G22" s="17"/>
      <c r="H22" s="5" t="str">
        <f t="shared" ca="1" si="5"/>
        <v/>
      </c>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51"/>
      <c r="BF22" s="51"/>
      <c r="BG22" s="51"/>
      <c r="BH22" s="51"/>
      <c r="BI22" s="51"/>
      <c r="BJ22" s="51"/>
      <c r="BK22" s="51"/>
      <c r="BL22" s="51"/>
    </row>
    <row r="23" spans="1:64" s="46" customFormat="1" ht="30" customHeight="1" thickBot="1">
      <c r="A23" s="13"/>
      <c r="B23" s="108"/>
      <c r="C23" s="109"/>
      <c r="D23" s="110"/>
      <c r="E23" s="111"/>
      <c r="F23" s="111"/>
      <c r="G23" s="17"/>
      <c r="H23" s="5" t="str">
        <f t="shared" ca="1" si="5"/>
        <v/>
      </c>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51"/>
      <c r="BF23" s="51"/>
      <c r="BG23" s="51"/>
      <c r="BH23" s="51"/>
      <c r="BI23" s="51"/>
      <c r="BJ23" s="51"/>
      <c r="BK23" s="51"/>
      <c r="BL23" s="51"/>
    </row>
    <row r="24" spans="1:64" s="46" customFormat="1" ht="30" customHeight="1" thickBot="1">
      <c r="A24" s="13"/>
      <c r="B24" s="108"/>
      <c r="C24" s="109"/>
      <c r="D24" s="110"/>
      <c r="E24" s="111"/>
      <c r="F24" s="111"/>
      <c r="G24" s="17"/>
      <c r="H24" s="5" t="str">
        <f t="shared" ca="1" si="5"/>
        <v/>
      </c>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51"/>
      <c r="BF24" s="51"/>
      <c r="BG24" s="51"/>
      <c r="BH24" s="51"/>
      <c r="BI24" s="51"/>
      <c r="BJ24" s="51"/>
      <c r="BK24" s="51"/>
      <c r="BL24" s="51"/>
    </row>
    <row r="25" spans="1:64" s="46" customFormat="1" ht="30" customHeight="1" thickBot="1">
      <c r="A25" s="13"/>
      <c r="B25" s="108"/>
      <c r="C25" s="109"/>
      <c r="D25" s="110"/>
      <c r="E25" s="111"/>
      <c r="F25" s="111"/>
      <c r="G25" s="17"/>
      <c r="H25" s="5" t="str">
        <f t="shared" ca="1" si="5"/>
        <v/>
      </c>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51"/>
      <c r="BF25" s="51"/>
      <c r="BG25" s="51"/>
      <c r="BH25" s="51"/>
      <c r="BI25" s="51"/>
      <c r="BJ25" s="51"/>
      <c r="BK25" s="51"/>
      <c r="BL25" s="51"/>
    </row>
    <row r="26" spans="1:64" s="46" customFormat="1" ht="30" customHeight="1" thickBot="1">
      <c r="A26" s="13"/>
      <c r="B26" s="93"/>
      <c r="C26" s="94"/>
      <c r="D26" s="95"/>
      <c r="E26" s="96"/>
      <c r="F26" s="97"/>
      <c r="G26" s="17"/>
      <c r="H26" s="5" t="str">
        <f t="shared" ca="1" si="5"/>
        <v/>
      </c>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66"/>
      <c r="BF26" s="66"/>
      <c r="BG26" s="66"/>
      <c r="BH26" s="66"/>
      <c r="BI26" s="66"/>
      <c r="BJ26" s="66"/>
      <c r="BK26" s="66"/>
      <c r="BL26" s="66"/>
    </row>
    <row r="27" spans="1:64" s="46" customFormat="1" ht="30" customHeight="1" thickBot="1">
      <c r="A27" s="13"/>
      <c r="B27" s="98"/>
      <c r="C27" s="99"/>
      <c r="D27" s="100"/>
      <c r="E27" s="101"/>
      <c r="F27" s="101"/>
      <c r="G27" s="17"/>
      <c r="H27" s="5" t="str">
        <f t="shared" ca="1" si="5"/>
        <v/>
      </c>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51"/>
      <c r="BF27" s="51"/>
      <c r="BG27" s="51"/>
      <c r="BH27" s="51"/>
      <c r="BI27" s="51"/>
      <c r="BJ27" s="51"/>
      <c r="BK27" s="51"/>
      <c r="BL27" s="51"/>
    </row>
    <row r="28" spans="1:64" s="46" customFormat="1" ht="30" customHeight="1" thickBot="1">
      <c r="A28" s="13"/>
      <c r="B28" s="98"/>
      <c r="C28" s="99"/>
      <c r="D28" s="100"/>
      <c r="E28" s="101"/>
      <c r="F28" s="101"/>
      <c r="G28" s="17"/>
      <c r="H28" s="5" t="str">
        <f t="shared" ca="1" si="5"/>
        <v/>
      </c>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51"/>
      <c r="BF28" s="51"/>
      <c r="BG28" s="51"/>
      <c r="BH28" s="51"/>
      <c r="BI28" s="51"/>
      <c r="BJ28" s="51"/>
      <c r="BK28" s="51"/>
      <c r="BL28" s="51"/>
    </row>
    <row r="29" spans="1:64" s="46" customFormat="1" ht="30" customHeight="1" thickBot="1">
      <c r="A29" s="13"/>
      <c r="B29" s="98"/>
      <c r="C29" s="99"/>
      <c r="D29" s="100"/>
      <c r="E29" s="101"/>
      <c r="F29" s="101"/>
      <c r="G29" s="17"/>
      <c r="H29" s="5" t="str">
        <f t="shared" ca="1" si="5"/>
        <v/>
      </c>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51"/>
      <c r="BF29" s="51"/>
      <c r="BG29" s="51"/>
      <c r="BH29" s="51"/>
      <c r="BI29" s="51"/>
      <c r="BJ29" s="51"/>
      <c r="BK29" s="51"/>
      <c r="BL29" s="51"/>
    </row>
    <row r="30" spans="1:64" s="46" customFormat="1" ht="30" customHeight="1" thickBot="1">
      <c r="A30" s="13"/>
      <c r="B30" s="98"/>
      <c r="C30" s="99"/>
      <c r="D30" s="100"/>
      <c r="E30" s="101"/>
      <c r="F30" s="101"/>
      <c r="G30" s="17"/>
      <c r="H30" s="5" t="str">
        <f t="shared" ca="1" si="5"/>
        <v/>
      </c>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51"/>
      <c r="BF30" s="51"/>
      <c r="BG30" s="51"/>
      <c r="BH30" s="51"/>
      <c r="BI30" s="51"/>
      <c r="BJ30" s="51"/>
      <c r="BK30" s="51"/>
      <c r="BL30" s="51"/>
    </row>
    <row r="31" spans="1:64" s="46" customFormat="1" ht="30" customHeight="1" thickBot="1">
      <c r="A31" s="13"/>
      <c r="B31" s="98"/>
      <c r="C31" s="99"/>
      <c r="D31" s="100"/>
      <c r="E31" s="101"/>
      <c r="F31" s="101"/>
      <c r="G31" s="17"/>
      <c r="H31" s="5" t="str">
        <f t="shared" ca="1" si="5"/>
        <v/>
      </c>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51"/>
      <c r="BF31" s="51"/>
      <c r="BG31" s="51"/>
      <c r="BH31" s="51"/>
      <c r="BI31" s="51"/>
      <c r="BJ31" s="51"/>
      <c r="BK31" s="51"/>
      <c r="BL31" s="51"/>
    </row>
    <row r="32" spans="1:64" s="46" customFormat="1" ht="30" customHeight="1" thickBot="1">
      <c r="A32" s="13"/>
      <c r="B32" s="67"/>
      <c r="C32" s="68"/>
      <c r="D32" s="69"/>
      <c r="E32" s="70"/>
      <c r="F32" s="70"/>
      <c r="G32" s="17"/>
      <c r="H32" s="5" t="str">
        <f t="shared" ca="1" si="5"/>
        <v/>
      </c>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45"/>
      <c r="BF32" s="45"/>
      <c r="BG32" s="45"/>
      <c r="BH32" s="45"/>
      <c r="BI32" s="45"/>
      <c r="BJ32" s="45"/>
      <c r="BK32" s="45"/>
      <c r="BL32" s="45"/>
    </row>
    <row r="33" spans="1:64" s="46" customFormat="1" ht="30" customHeight="1" thickBot="1">
      <c r="A33" s="14"/>
      <c r="B33" s="71" t="s">
        <v>20</v>
      </c>
      <c r="C33" s="72"/>
      <c r="D33" s="73"/>
      <c r="E33" s="74"/>
      <c r="F33" s="75"/>
      <c r="G33" s="17"/>
      <c r="H33" s="6" t="str">
        <f t="shared" ca="1" si="5"/>
        <v/>
      </c>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c r="BL33" s="76"/>
    </row>
    <row r="34" spans="1:64" ht="30" customHeight="1">
      <c r="G34" s="3"/>
    </row>
    <row r="35" spans="1:64" ht="30" customHeight="1">
      <c r="C35" s="16"/>
      <c r="F35" s="15"/>
    </row>
    <row r="36" spans="1:64" ht="30" customHeight="1">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3">
    <cfRule type="expression" dxfId="8" priority="6">
      <formula>AND(task_start&lt;=I$5,ROUNDDOWN((task_end-task_start+1)*task_progress,0)+task_start-1&gt;=I$5)</formula>
    </cfRule>
    <cfRule type="expression" dxfId="7" priority="7" stopIfTrue="1">
      <formula>AND(task_end&gt;=I$5,task_start&lt;J$5)</formula>
    </cfRule>
  </conditionalFormatting>
  <conditionalFormatting sqref="I15:BL19">
    <cfRule type="expression" dxfId="6" priority="4">
      <formula>AND(task_start&lt;=I$5,ROUNDDOWN((task_end-task_start+1)*task_progress,0)+task_start-1&gt;=I$5)</formula>
    </cfRule>
    <cfRule type="expression" dxfId="5" priority="5" stopIfTrue="1">
      <formula>AND(task_end&gt;=I$5,task_start&lt;J$5)</formula>
    </cfRule>
  </conditionalFormatting>
  <conditionalFormatting sqref="I21:BL25">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I27:BL31">
    <cfRule type="expression" dxfId="2" priority="36">
      <formula>AND(task_start&lt;=I$5,ROUNDDOWN((task_end-task_start+1)*task_progress,0)+task_start-1&gt;=I$5)</formula>
    </cfRule>
    <cfRule type="expression" dxfId="1" priority="37" stopIfTrue="1">
      <formula>AND(task_end&gt;=I$5,task_start&lt;J$5)</formula>
    </cfRule>
  </conditionalFormatting>
  <conditionalFormatting sqref="I4:BL31 I21:BL25 I15:BL19 I9:BL13 I27:BL31">
    <cfRule type="expression" dxfId="0" priority="1">
      <formula>AND(TODAY()&gt;=I$5, TODAY()&lt;J$5)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80" t="s">
        <v>21</v>
      </c>
      <c r="B2" s="8"/>
    </row>
    <row r="3" spans="1:2" s="11" customFormat="1" ht="27" customHeight="1">
      <c r="A3" s="81"/>
      <c r="B3" s="12"/>
    </row>
    <row r="4" spans="1:2" s="10" customFormat="1" ht="30">
      <c r="A4" s="82" t="s">
        <v>22</v>
      </c>
    </row>
    <row r="5" spans="1:2" ht="74.25" customHeight="1">
      <c r="A5" s="83" t="s">
        <v>23</v>
      </c>
    </row>
    <row r="6" spans="1:2" ht="26.25" customHeight="1">
      <c r="A6" s="82" t="s">
        <v>24</v>
      </c>
    </row>
    <row r="7" spans="1:2" s="7" customFormat="1" ht="205.15" customHeight="1">
      <c r="A7" s="84" t="s">
        <v>25</v>
      </c>
    </row>
    <row r="8" spans="1:2" s="10" customFormat="1" ht="30">
      <c r="A8" s="82" t="s">
        <v>26</v>
      </c>
    </row>
    <row r="9" spans="1:2" ht="41.45">
      <c r="A9" s="83" t="s">
        <v>27</v>
      </c>
    </row>
    <row r="10" spans="1:2" s="7" customFormat="1" ht="28.15" customHeight="1">
      <c r="A10" s="85" t="s">
        <v>28</v>
      </c>
    </row>
    <row r="11" spans="1:2" s="10" customFormat="1" ht="30">
      <c r="A11" s="82" t="s">
        <v>29</v>
      </c>
    </row>
    <row r="12" spans="1:2" ht="27.6">
      <c r="A12" s="83" t="s">
        <v>30</v>
      </c>
    </row>
    <row r="13" spans="1:2" s="7" customFormat="1" ht="28.15" customHeight="1">
      <c r="A13" s="85" t="s">
        <v>31</v>
      </c>
    </row>
    <row r="14" spans="1:2" s="10" customFormat="1" ht="30">
      <c r="A14" s="82" t="s">
        <v>32</v>
      </c>
    </row>
    <row r="15" spans="1:2" ht="75" customHeight="1">
      <c r="A15" s="83" t="s">
        <v>33</v>
      </c>
    </row>
    <row r="16" spans="1:2" ht="69">
      <c r="A16" s="83" t="s">
        <v>34</v>
      </c>
    </row>
    <row r="17" spans="1:1">
      <c r="A17" s="86"/>
    </row>
    <row r="18" spans="1:1">
      <c r="A18" s="86"/>
    </row>
    <row r="19" spans="1:1">
      <c r="A19" s="86"/>
    </row>
    <row r="20" spans="1:1">
      <c r="A20" s="86"/>
    </row>
    <row r="21" spans="1:1">
      <c r="A21" s="86"/>
    </row>
    <row r="22" spans="1:1">
      <c r="A22" s="86"/>
    </row>
    <row r="23" spans="1:1">
      <c r="A23" s="86"/>
    </row>
    <row r="24" spans="1:1">
      <c r="A24" s="86"/>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O'Brien, Christopher J</cp:lastModifiedBy>
  <cp:revision/>
  <dcterms:created xsi:type="dcterms:W3CDTF">2026-03-31T18:47:09Z</dcterms:created>
  <dcterms:modified xsi:type="dcterms:W3CDTF">2026-04-01T13:50:52Z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